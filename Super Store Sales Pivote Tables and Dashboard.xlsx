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4c3aea377d47fc39/Data Analytics Course/Excel/Module - 7 - Project/"/>
    </mc:Choice>
  </mc:AlternateContent>
  <xr:revisionPtr revIDLastSave="10" documentId="8_{53F7E58D-FA79-4FC5-9DDF-10E34678877C}" xr6:coauthVersionLast="47" xr6:coauthVersionMax="47" xr10:uidLastSave="{70AFDB11-C390-4320-A052-207241D29776}"/>
  <bookViews>
    <workbookView xWindow="-110" yWindow="-110" windowWidth="19420" windowHeight="12220" activeTab="1" xr2:uid="{F5E77811-C7BA-421C-B061-02A05359B4BB}"/>
  </bookViews>
  <sheets>
    <sheet name="Pivot Report" sheetId="1" r:id="rId1"/>
    <sheet name="Dashboard" sheetId="3" r:id="rId2"/>
  </sheets>
  <definedNames>
    <definedName name="_xlnm._FilterDatabase" localSheetId="0" hidden="1">'Pivot Report'!$C$19:$D$25</definedName>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B015B0-83D1-40E0-AC9A-B6B35BF8B337}"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<sst xmlns="http://schemas.openxmlformats.org/spreadsheetml/2006/main" count="53" uniqueCount="44">
  <si>
    <t>Sum of Total Sales</t>
  </si>
  <si>
    <t>Sum of Quantity</t>
  </si>
  <si>
    <t>Count of Order ID</t>
  </si>
  <si>
    <t>Second Class</t>
  </si>
  <si>
    <t>Consumer</t>
  </si>
  <si>
    <t>South</t>
  </si>
  <si>
    <t>Furniture</t>
  </si>
  <si>
    <t>Corporate</t>
  </si>
  <si>
    <t>West</t>
  </si>
  <si>
    <t>Office Supplies</t>
  </si>
  <si>
    <t>Standard Class</t>
  </si>
  <si>
    <t>Technology</t>
  </si>
  <si>
    <t>Home Office</t>
  </si>
  <si>
    <t>Central</t>
  </si>
  <si>
    <t>East</t>
  </si>
  <si>
    <t>First Class</t>
  </si>
  <si>
    <t>Same Day</t>
  </si>
  <si>
    <t>Average of Total Sales</t>
  </si>
  <si>
    <t>Grand Total</t>
  </si>
  <si>
    <t>Count of Region</t>
  </si>
  <si>
    <t>Jan</t>
  </si>
  <si>
    <t>Feb</t>
  </si>
  <si>
    <t>Mar</t>
  </si>
  <si>
    <t>Apr</t>
  </si>
  <si>
    <t>May</t>
  </si>
  <si>
    <t>Jun</t>
  </si>
  <si>
    <t>Jul</t>
  </si>
  <si>
    <t>Aug</t>
  </si>
  <si>
    <t>Sep</t>
  </si>
  <si>
    <t>Oct</t>
  </si>
  <si>
    <t>Nov</t>
  </si>
  <si>
    <t>Dec</t>
  </si>
  <si>
    <t>Count of Category</t>
  </si>
  <si>
    <t>Shipping Mode</t>
  </si>
  <si>
    <t>Region</t>
  </si>
  <si>
    <t>City</t>
  </si>
  <si>
    <t>Months</t>
  </si>
  <si>
    <t>Category</t>
  </si>
  <si>
    <t>Segment</t>
  </si>
  <si>
    <t>Jacksonville</t>
  </si>
  <si>
    <t>Springfield</t>
  </si>
  <si>
    <t>Charlotte</t>
  </si>
  <si>
    <t>Henderson</t>
  </si>
  <si>
    <t>Chesapeake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</si>
</sst>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2" x14ac:knownFonts="1">
    <font>
      <sz val="11"/>
      <color theme="1"/>
      <name val="Aptos Narrow"/>
      <family val="2"/>
      <scheme val="minor"/>
    </font>
    <font>
      <sz val="11"/>
      <color theme="1"/>
      <name val="ADLaM Display"/>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cellXfs>
  <cellStyles count="1">
    <cellStyle name="Normal" xfId="0" builtinId="0"/>
  </cellStyles>
  <dxfs count="64">
    <dxf>
      <numFmt numFmtId="164" formatCode="_-* #,##0_-;\-* #,##0_-;_-* &quot;-&quot;??_-;_-@_-"/>
    </dxf>
    <dxf>
      <numFmt numFmtId="164" formatCode="_-* #,##0_-;\-* #,##0_-;_-* &quot;-&quot;??_-;_-@_-"/>
    </dxf>
    <dxf>
      <numFmt numFmtId="35" formatCode="_-* #,##0.00_-;\-* #,##0.00_-;_-* &quot;-&quot;??_-;_-@_-"/>
    </dxf>
    <dxf>
      <numFmt numFmtId="164" formatCode="_-* #,##0_-;\-* #,##0_-;_-* &quot;-&quot;??_-;_-@_-"/>
    </dxf>
    <dxf>
      <numFmt numFmtId="35" formatCode="_-* #,##0.00_-;\-* #,##0.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35" formatCode="_-* #,##0.00_-;\-* #,##0.00_-;_-* &quot;-&quot;??_-;_-@_-"/>
    </dxf>
    <dxf>
      <numFmt numFmtId="164" formatCode="_-* #,##0_-;\-* #,##0_-;_-* &quot;-&quot;??_-;_-@_-"/>
    </dxf>
    <dxf>
      <numFmt numFmtId="164" formatCode="_-* #,##0_-;\-* #,##0_-;_-* &quot;-&quot;??_-;_-@_-"/>
    </dxf>
    <dxf>
      <numFmt numFmtId="35" formatCode="_-* #,##0.00_-;\-* #,##0.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35" formatCode="_-* #,##0.00_-;\-* #,##0.00_-;_-* &quot;-&quot;??_-;_-@_-"/>
    </dxf>
    <dxf>
      <numFmt numFmtId="164" formatCode="_-* #,##0_-;\-* #,##0_-;_-* &quot;-&quot;??_-;_-@_-"/>
    </dxf>
    <dxf>
      <numFmt numFmtId="164" formatCode="_-* #,##0_-;\-* #,##0_-;_-* &quot;-&quot;??_-;_-@_-"/>
    </dxf>
    <dxf>
      <numFmt numFmtId="35" formatCode="_-* #,##0.00_-;\-* #,##0.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35" formatCode="_-* #,##0.00_-;\-* #,##0.00_-;_-* &quot;-&quot;??_-;_-@_-"/>
    </dxf>
    <dxf>
      <numFmt numFmtId="164" formatCode="_-* #,##0_-;\-* #,##0_-;_-* &quot;-&quot;??_-;_-@_-"/>
    </dxf>
    <dxf>
      <numFmt numFmtId="164" formatCode="_-* #,##0_-;\-* #,##0_-;_-* &quot;-&quot;??_-;_-@_-"/>
    </dxf>
    <dxf>
      <numFmt numFmtId="35" formatCode="_-* #,##0.00_-;\-* #,##0.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35" formatCode="_-* #,##0.00_-;\-* #,##0.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35" formatCode="_-* #,##0.00_-;\-* #,##0.00_-;_-* &quot;-&quot;??_-;_-@_-"/>
    </dxf>
    <dxf>
      <numFmt numFmtId="164" formatCode="_-* #,##0_-;\-* #,##0_-;_-* &quot;-&quot;??_-;_-@_-"/>
    </dxf>
    <dxf>
      <numFmt numFmtId="35" formatCode="_-* #,##0.00_-;\-* #,##0.00_-;_-* &quot;-&quot;??_-;_-@_-"/>
    </dxf>
    <dxf>
      <numFmt numFmtId="164" formatCode="_-* #,##0_-;\-* #,##0_-;_-* &quot;-&quot;??_-;_-@_-"/>
    </dxf>
    <dxf>
      <numFmt numFmtId="164" formatCode="_-* #,##0_-;\-* #,##0_-;_-* &quot;-&quot;??_-;_-@_-"/>
    </dxf>
    <dxf>
      <numFmt numFmtId="164" formatCode="_-* #,##0_-;\-* #,##0_-;_-* &quot;-&quot;??_-;_-@_-"/>
    </dxf>
    <dxf>
      <numFmt numFmtId="164" formatCode="_-* #,##0_-;\-* #,##0_-;_-* &quot;-&quot;??_-;_-@_-"/>
    </dxf>
    <dxf>
      <numFmt numFmtId="35" formatCode="_-* #,##0.00_-;\-* #,##0.00_-;_-* &quot;-&quot;??_-;_-@_-"/>
    </dxf>
    <dxf>
      <numFmt numFmtId="35" formatCode="_-* #,##0.00_-;\-* #,##0.00_-;_-* &quot;-&quot;??_-;_-@_-"/>
    </dxf>
    <dxf>
      <numFmt numFmtId="164" formatCode="_-* #,##0_-;\-* #,##0_-;_-* &quot;-&quot;??_-;_-@_-"/>
    </dxf>
    <dxf>
      <numFmt numFmtId="164" formatCode="_-* #,##0_-;\-* #,##0_-;_-* &quot;-&quot;??_-;_-@_-"/>
    </dxf>
    <dxf>
      <numFmt numFmtId="164" formatCode="_-* #,##0_-;\-* #,##0_-;_-* &quot;-&quot;??_-;_-@_-"/>
    </dxf>
    <dxf>
      <numFmt numFmtId="35" formatCode="_-* #,##0.00_-;\-* #,##0.00_-;_-* &quot;-&quot;??_-;_-@_-"/>
    </dxf>
    <dxf>
      <numFmt numFmtId="164" formatCode="_-* #,##0_-;\-* #,##0_-;_-* &quot;-&quot;??_-;_-@_-"/>
    </dxf>
    <dxf>
      <numFmt numFmtId="164" formatCode="_-* #,##0_-;\-* #,##0_-;_-* &quot;-&quot;??_-;_-@_-"/>
    </dxf>
    <dxf>
      <font>
        <b/>
        <color theme="1"/>
      </font>
      <border>
        <bottom style="thin">
          <color theme="4"/>
        </bottom>
        <vertical/>
        <horizontal/>
      </border>
    </dxf>
    <dxf>
      <font>
        <sz val="9"/>
        <color theme="1"/>
      </font>
      <fill>
        <patternFill>
          <bgColor theme="2"/>
        </patternFill>
      </fill>
      <border diagonalUp="0" diagonalDown="0">
        <left/>
        <right/>
        <top/>
        <bottom/>
        <vertical/>
        <horizontal/>
      </border>
    </dxf>
  </dxfs>
  <tableStyles count="1" defaultTableStyle="TableStyleMedium2" defaultPivotStyle="PivotStyleLight16">
    <tableStyle name="MySlicerDesign" pivot="0" table="0" count="10" xr9:uid="{D6FD5AC4-E783-49AF-992C-B9725ACDD4FE}">
      <tableStyleElement type="wholeTable" dxfId="63"/>
      <tableStyleElement type="headerRow" dxfId="6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Pivote Tables and Dashboard.xlsx]Pivot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088136574074074"/>
                  <c:h val="0.16453002735528241"/>
                </c:manualLayout>
              </c15:layout>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2736747685185185"/>
                  <c:h val="0.16453002735528241"/>
                </c:manualLayout>
              </c15:layout>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088136574074074"/>
                  <c:h val="0.16453002735528241"/>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088136574074074"/>
                  <c:h val="0.16453002735528241"/>
                </c:manualLayout>
              </c15:layout>
            </c:ext>
          </c:extLst>
        </c:dLbl>
      </c:pivotFmt>
    </c:pivotFmts>
    <c:plotArea>
      <c:layout>
        <c:manualLayout>
          <c:layoutTarget val="inner"/>
          <c:xMode val="edge"/>
          <c:yMode val="edge"/>
          <c:x val="0.19998437499999999"/>
          <c:y val="0.33826691987502944"/>
          <c:w val="0.48978819444444438"/>
          <c:h val="0.66173308012497056"/>
        </c:manualLayout>
      </c:layout>
      <c:pieChart>
        <c:varyColors val="1"/>
        <c:ser>
          <c:idx val="0"/>
          <c:order val="0"/>
          <c:tx>
            <c:strRef>
              <c:f>'Pivot Report'!$D$3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5F2-4A7F-B119-C9A6E05B071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5F2-4A7F-B119-C9A6E05B071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5F2-4A7F-B119-C9A6E05B071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5F2-4A7F-B119-C9A6E05B071B}"/>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16088136574074074"/>
                      <c:h val="0.16453002735528241"/>
                    </c:manualLayout>
                  </c15:layout>
                </c:ext>
                <c:ext xmlns:c16="http://schemas.microsoft.com/office/drawing/2014/chart" uri="{C3380CC4-5D6E-409C-BE32-E72D297353CC}">
                  <c16:uniqueId val="{00000001-75F2-4A7F-B119-C9A6E05B071B}"/>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2736747685185185"/>
                      <c:h val="0.16453002735528241"/>
                    </c:manualLayout>
                  </c15:layout>
                </c:ext>
                <c:ext xmlns:c16="http://schemas.microsoft.com/office/drawing/2014/chart" uri="{C3380CC4-5D6E-409C-BE32-E72D297353CC}">
                  <c16:uniqueId val="{00000003-75F2-4A7F-B119-C9A6E05B071B}"/>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6088136574074074"/>
                      <c:h val="0.16453002735528241"/>
                    </c:manualLayout>
                  </c15:layout>
                </c:ext>
                <c:ext xmlns:c16="http://schemas.microsoft.com/office/drawing/2014/chart" uri="{C3380CC4-5D6E-409C-BE32-E72D297353CC}">
                  <c16:uniqueId val="{00000005-75F2-4A7F-B119-C9A6E05B071B}"/>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16088136574074074"/>
                      <c:h val="0.16453002735528241"/>
                    </c:manualLayout>
                  </c15:layout>
                </c:ext>
                <c:ext xmlns:c16="http://schemas.microsoft.com/office/drawing/2014/chart" uri="{C3380CC4-5D6E-409C-BE32-E72D297353CC}">
                  <c16:uniqueId val="{00000007-75F2-4A7F-B119-C9A6E05B071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22549.489999999998</c:v>
                </c:pt>
                <c:pt idx="1">
                  <c:v>4917.4929999999995</c:v>
                </c:pt>
                <c:pt idx="2">
                  <c:v>46244.563499999997</c:v>
                </c:pt>
                <c:pt idx="3">
                  <c:v>199754.54800000004</c:v>
                </c:pt>
              </c:numCache>
            </c:numRef>
          </c:val>
          <c:extLst>
            <c:ext xmlns:c16="http://schemas.microsoft.com/office/drawing/2014/chart" uri="{C3380CC4-5D6E-409C-BE32-E72D297353CC}">
              <c16:uniqueId val="{00000008-75F2-4A7F-B119-C9A6E05B071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5.9369377144436089E-2"/>
          <c:y val="7.5675793776510111E-2"/>
          <c:w val="0.84460706018518517"/>
          <c:h val="0.2556496309885766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Pivote Tables and Dashboard.xlsx]Pivot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09332284950158"/>
                  <c:h val="0.16663023399159202"/>
                </c:manualLayout>
              </c15:layout>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09332284950158"/>
                  <c:h val="0.16663023399159202"/>
                </c:manualLayout>
              </c15:layout>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09332284950158"/>
                  <c:h val="0.16663023399159202"/>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09332284950158"/>
                  <c:h val="0.16663023399159202"/>
                </c:manualLayout>
              </c15:layout>
            </c:ext>
          </c:extLst>
        </c:dLbl>
      </c:pivotFmt>
    </c:pivotFmts>
    <c:plotArea>
      <c:layout>
        <c:manualLayout>
          <c:layoutTarget val="inner"/>
          <c:xMode val="edge"/>
          <c:yMode val="edge"/>
          <c:x val="0.28630860023773974"/>
          <c:y val="0.22682764592693636"/>
          <c:w val="0.35274305523376198"/>
          <c:h val="0.67846678794212922"/>
        </c:manualLayout>
      </c:layout>
      <c:doughnutChart>
        <c:varyColors val="1"/>
        <c:ser>
          <c:idx val="0"/>
          <c:order val="0"/>
          <c:tx>
            <c:strRef>
              <c:f>'Pivot Report'!$D$11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81E-4FFB-8C3D-F87858B6F8D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81E-4FFB-8C3D-F87858B6F8D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81E-4FFB-8C3D-F87858B6F8D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81E-4FFB-8C3D-F87858B6F8D1}"/>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7509332284950158"/>
                      <c:h val="0.16663023399159202"/>
                    </c:manualLayout>
                  </c15:layout>
                </c:ext>
                <c:ext xmlns:c16="http://schemas.microsoft.com/office/drawing/2014/chart" uri="{C3380CC4-5D6E-409C-BE32-E72D297353CC}">
                  <c16:uniqueId val="{00000001-581E-4FFB-8C3D-F87858B6F8D1}"/>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7509332284950158"/>
                      <c:h val="0.16663023399159202"/>
                    </c:manualLayout>
                  </c15:layout>
                </c:ext>
                <c:ext xmlns:c16="http://schemas.microsoft.com/office/drawing/2014/chart" uri="{C3380CC4-5D6E-409C-BE32-E72D297353CC}">
                  <c16:uniqueId val="{00000003-581E-4FFB-8C3D-F87858B6F8D1}"/>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7509332284950158"/>
                      <c:h val="0.16663023399159202"/>
                    </c:manualLayout>
                  </c15:layout>
                </c:ext>
                <c:ext xmlns:c16="http://schemas.microsoft.com/office/drawing/2014/chart" uri="{C3380CC4-5D6E-409C-BE32-E72D297353CC}">
                  <c16:uniqueId val="{00000005-581E-4FFB-8C3D-F87858B6F8D1}"/>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7509332284950158"/>
                      <c:h val="0.16663023399159202"/>
                    </c:manualLayout>
                  </c15:layout>
                </c:ext>
                <c:ext xmlns:c16="http://schemas.microsoft.com/office/drawing/2014/chart" uri="{C3380CC4-5D6E-409C-BE32-E72D297353CC}">
                  <c16:uniqueId val="{00000007-581E-4FFB-8C3D-F87858B6F8D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#,##0_-;\-* #,##0_-;_-* "-"??_-;_-@_-</c:formatCode>
                <c:ptCount val="4"/>
                <c:pt idx="0">
                  <c:v>466</c:v>
                </c:pt>
                <c:pt idx="1">
                  <c:v>517</c:v>
                </c:pt>
                <c:pt idx="2">
                  <c:v>349</c:v>
                </c:pt>
                <c:pt idx="3">
                  <c:v>661</c:v>
                </c:pt>
              </c:numCache>
            </c:numRef>
          </c:val>
          <c:extLst>
            <c:ext xmlns:c16="http://schemas.microsoft.com/office/drawing/2014/chart" uri="{C3380CC4-5D6E-409C-BE32-E72D297353CC}">
              <c16:uniqueId val="{00000008-581E-4FFB-8C3D-F87858B6F8D1}"/>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t"/>
      <c:layout>
        <c:manualLayout>
          <c:xMode val="edge"/>
          <c:yMode val="edge"/>
          <c:x val="0.13106025390448756"/>
          <c:y val="0"/>
          <c:w val="0.70071131692893318"/>
          <c:h val="0.1868633866288042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Pivote Tables and Dashboard.xlsx]Pivot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tx2">
                <a:lumMod val="50000"/>
                <a:lumOff val="50000"/>
              </a:schemeClr>
            </a:solidFill>
            <a:round/>
          </a:ln>
          <a:effectLst/>
        </c:spPr>
        <c:marker>
          <c:symbol val="circle"/>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t" anchorCtr="0">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384747750745269E-2"/>
          <c:y val="4.4110716568756911E-2"/>
          <c:w val="0.93771347670148775"/>
          <c:h val="0.69961664587289052"/>
        </c:manualLayout>
      </c:layout>
      <c:lineChart>
        <c:grouping val="standard"/>
        <c:varyColors val="0"/>
        <c:ser>
          <c:idx val="0"/>
          <c:order val="0"/>
          <c:tx>
            <c:strRef>
              <c:f>'Pivot Report'!$G$3</c:f>
              <c:strCache>
                <c:ptCount val="1"/>
                <c:pt idx="0">
                  <c:v>Total</c:v>
                </c:pt>
              </c:strCache>
            </c:strRef>
          </c:tx>
          <c:spPr>
            <a:ln w="15875" cap="rnd">
              <a:solidFill>
                <a:schemeClr val="tx2">
                  <a:lumMod val="50000"/>
                  <a:lumOff val="50000"/>
                </a:schemeClr>
              </a:solidFill>
              <a:round/>
            </a:ln>
            <a:effectLst/>
          </c:spPr>
          <c:marker>
            <c:symbol val="circle"/>
            <c:size val="3"/>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t" anchorCtr="0">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#,##0_-;\-* #,##0_-;_-* "-"??_-;_-@_-</c:formatCode>
                <c:ptCount val="12"/>
                <c:pt idx="0">
                  <c:v>85</c:v>
                </c:pt>
                <c:pt idx="1">
                  <c:v>38</c:v>
                </c:pt>
                <c:pt idx="2">
                  <c:v>114</c:v>
                </c:pt>
                <c:pt idx="3">
                  <c:v>60</c:v>
                </c:pt>
                <c:pt idx="4">
                  <c:v>91</c:v>
                </c:pt>
                <c:pt idx="5">
                  <c:v>66</c:v>
                </c:pt>
                <c:pt idx="6">
                  <c:v>28</c:v>
                </c:pt>
                <c:pt idx="7">
                  <c:v>74</c:v>
                </c:pt>
                <c:pt idx="8">
                  <c:v>65</c:v>
                </c:pt>
                <c:pt idx="9">
                  <c:v>62</c:v>
                </c:pt>
                <c:pt idx="10">
                  <c:v>85</c:v>
                </c:pt>
                <c:pt idx="11">
                  <c:v>100</c:v>
                </c:pt>
              </c:numCache>
            </c:numRef>
          </c:val>
          <c:smooth val="1"/>
          <c:extLst>
            <c:ext xmlns:c16="http://schemas.microsoft.com/office/drawing/2014/chart" uri="{C3380CC4-5D6E-409C-BE32-E72D297353CC}">
              <c16:uniqueId val="{00000000-F825-4707-9348-335B72C09837}"/>
            </c:ext>
          </c:extLst>
        </c:ser>
        <c:dLbls>
          <c:showLegendKey val="0"/>
          <c:showVal val="0"/>
          <c:showCatName val="0"/>
          <c:showSerName val="0"/>
          <c:showPercent val="0"/>
          <c:showBubbleSize val="0"/>
        </c:dLbls>
        <c:marker val="1"/>
        <c:smooth val="0"/>
        <c:axId val="549623759"/>
        <c:axId val="142458928"/>
      </c:lineChart>
      <c:catAx>
        <c:axId val="54962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2458928"/>
        <c:crosses val="autoZero"/>
        <c:auto val="1"/>
        <c:lblAlgn val="ctr"/>
        <c:lblOffset val="100"/>
        <c:noMultiLvlLbl val="0"/>
      </c:catAx>
      <c:valAx>
        <c:axId val="142458928"/>
        <c:scaling>
          <c:orientation val="minMax"/>
        </c:scaling>
        <c:delete val="1"/>
        <c:axPos val="l"/>
        <c:numFmt formatCode="_-* #,##0_-;\-* #,##0_-;_-* &quot;-&quot;??_-;_-@_-" sourceLinked="1"/>
        <c:majorTickMark val="none"/>
        <c:minorTickMark val="none"/>
        <c:tickLblPos val="nextTo"/>
        <c:crossAx val="54962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Pivote Tables and Dashboard.xlsx]Pivot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3631535947712418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1549139070132422E-16"/>
              <c:y val="-0.1141339869281045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8872847675331054E-17"/>
              <c:y val="-0.176388888888888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6091059594163817E-18"/>
              <c:y val="-7.2630718954248372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841269841269843E-2"/>
          <c:y val="4.1557433471492471E-4"/>
          <c:w val="0.86031746031746037"/>
          <c:h val="0.76768113182676956"/>
        </c:manualLayout>
      </c:layout>
      <c:barChart>
        <c:barDir val="col"/>
        <c:grouping val="clustered"/>
        <c:varyColors val="0"/>
        <c:ser>
          <c:idx val="0"/>
          <c:order val="0"/>
          <c:tx>
            <c:strRef>
              <c:f>'Pivot Report'!$D$19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Report'!$C$20:$C$25</c:f>
              <c:strCache>
                <c:ptCount val="5"/>
                <c:pt idx="0">
                  <c:v>Jacksonville</c:v>
                </c:pt>
                <c:pt idx="1">
                  <c:v>Springfield</c:v>
                </c:pt>
                <c:pt idx="2">
                  <c:v>Charlotte</c:v>
                </c:pt>
                <c:pt idx="3">
                  <c:v>Henderson</c:v>
                </c:pt>
                <c:pt idx="4">
                  <c:v>Chesapeake</c:v>
                </c:pt>
              </c:strCache>
            </c:strRef>
          </c:cat>
          <c:val>
            <c:numRef>
              <c:f>'Pivot Report'!$D$20:$D$25</c:f>
              <c:numCache>
                <c:formatCode>_-* #,##0_-;\-* #,##0_-;_-* "-"??_-;_-@_-</c:formatCode>
                <c:ptCount val="5"/>
                <c:pt idx="0">
                  <c:v>74692.989000000001</c:v>
                </c:pt>
                <c:pt idx="1">
                  <c:v>18602.039999999997</c:v>
                </c:pt>
                <c:pt idx="2">
                  <c:v>15400.588000000003</c:v>
                </c:pt>
                <c:pt idx="3">
                  <c:v>11164.95</c:v>
                </c:pt>
                <c:pt idx="4">
                  <c:v>10807.230000000001</c:v>
                </c:pt>
              </c:numCache>
            </c:numRef>
          </c:val>
          <c:extLst>
            <c:ext xmlns:c16="http://schemas.microsoft.com/office/drawing/2014/chart" uri="{C3380CC4-5D6E-409C-BE32-E72D297353CC}">
              <c16:uniqueId val="{00000000-BA31-4FCF-802F-10D97C416185}"/>
            </c:ext>
          </c:extLst>
        </c:ser>
        <c:dLbls>
          <c:showLegendKey val="0"/>
          <c:showVal val="0"/>
          <c:showCatName val="0"/>
          <c:showSerName val="0"/>
          <c:showPercent val="0"/>
          <c:showBubbleSize val="0"/>
        </c:dLbls>
        <c:gapWidth val="219"/>
        <c:overlap val="-27"/>
        <c:axId val="549682687"/>
        <c:axId val="142450288"/>
      </c:barChart>
      <c:catAx>
        <c:axId val="54968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42450288"/>
        <c:crosses val="autoZero"/>
        <c:auto val="1"/>
        <c:lblAlgn val="ctr"/>
        <c:lblOffset val="100"/>
        <c:noMultiLvlLbl val="0"/>
      </c:catAx>
      <c:valAx>
        <c:axId val="142450288"/>
        <c:scaling>
          <c:orientation val="minMax"/>
        </c:scaling>
        <c:delete val="1"/>
        <c:axPos val="l"/>
        <c:numFmt formatCode="_-* #,##0_-;\-* #,##0_-;_-* &quot;-&quot;??_-;_-@_-" sourceLinked="1"/>
        <c:majorTickMark val="none"/>
        <c:minorTickMark val="none"/>
        <c:tickLblPos val="nextTo"/>
        <c:crossAx val="54968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Pivote Tables and Dashboard.xlsx]Pivot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19064049916384"/>
          <c:y val="6.5716182724033595E-2"/>
          <c:w val="0.6335372553518327"/>
          <c:h val="0.84270470629775862"/>
        </c:manualLayout>
      </c:layout>
      <c:barChart>
        <c:barDir val="bar"/>
        <c:grouping val="clustered"/>
        <c:varyColors val="0"/>
        <c:ser>
          <c:idx val="0"/>
          <c:order val="0"/>
          <c:tx>
            <c:strRef>
              <c:f>'Pivot Report'!$G$19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Report'!$F$20:$F$23</c:f>
              <c:strCache>
                <c:ptCount val="3"/>
                <c:pt idx="0">
                  <c:v>Furniture</c:v>
                </c:pt>
                <c:pt idx="1">
                  <c:v>Office Supplies</c:v>
                </c:pt>
                <c:pt idx="2">
                  <c:v>Technology</c:v>
                </c:pt>
              </c:strCache>
            </c:strRef>
          </c:cat>
          <c:val>
            <c:numRef>
              <c:f>'Pivot Report'!$G$20:$G$23</c:f>
              <c:numCache>
                <c:formatCode>_-* #,##0_-;\-* #,##0_-;_-* "-"??_-;_-@_-</c:formatCode>
                <c:ptCount val="3"/>
                <c:pt idx="0">
                  <c:v>65</c:v>
                </c:pt>
                <c:pt idx="1">
                  <c:v>216</c:v>
                </c:pt>
                <c:pt idx="2">
                  <c:v>68</c:v>
                </c:pt>
              </c:numCache>
            </c:numRef>
          </c:val>
          <c:extLst>
            <c:ext xmlns:c16="http://schemas.microsoft.com/office/drawing/2014/chart" uri="{C3380CC4-5D6E-409C-BE32-E72D297353CC}">
              <c16:uniqueId val="{00000000-520D-4151-905F-53D81489AE63}"/>
            </c:ext>
          </c:extLst>
        </c:ser>
        <c:dLbls>
          <c:showLegendKey val="0"/>
          <c:showVal val="0"/>
          <c:showCatName val="0"/>
          <c:showSerName val="0"/>
          <c:showPercent val="0"/>
          <c:showBubbleSize val="0"/>
        </c:dLbls>
        <c:gapWidth val="182"/>
        <c:axId val="549706351"/>
        <c:axId val="142470448"/>
      </c:barChart>
      <c:catAx>
        <c:axId val="54970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2470448"/>
        <c:crosses val="autoZero"/>
        <c:auto val="1"/>
        <c:lblAlgn val="ctr"/>
        <c:lblOffset val="100"/>
        <c:noMultiLvlLbl val="0"/>
      </c:catAx>
      <c:valAx>
        <c:axId val="142470448"/>
        <c:scaling>
          <c:orientation val="minMax"/>
        </c:scaling>
        <c:delete val="1"/>
        <c:axPos val="b"/>
        <c:numFmt formatCode="_-* #,##0_-;\-* #,##0_-;_-* &quot;-&quot;??_-;_-@_-" sourceLinked="1"/>
        <c:majorTickMark val="none"/>
        <c:minorTickMark val="none"/>
        <c:tickLblPos val="nextTo"/>
        <c:crossAx val="54970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Pivote Tables and Dashboard.xlsx]Pivot Report!PivotTable11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66372703412071"/>
          <c:y val="9.8089191652378088E-2"/>
          <c:w val="0.60068490025159493"/>
          <c:h val="0.67478644300123436"/>
        </c:manualLayout>
      </c:layout>
      <c:barChart>
        <c:barDir val="bar"/>
        <c:grouping val="clustered"/>
        <c:varyColors val="0"/>
        <c:ser>
          <c:idx val="0"/>
          <c:order val="0"/>
          <c:tx>
            <c:strRef>
              <c:f>'Pivot Report'!$G$26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Report'!$F$27:$F$30</c:f>
              <c:strCache>
                <c:ptCount val="3"/>
                <c:pt idx="0">
                  <c:v>Consumer</c:v>
                </c:pt>
                <c:pt idx="1">
                  <c:v>Corporate</c:v>
                </c:pt>
                <c:pt idx="2">
                  <c:v>Home Office</c:v>
                </c:pt>
              </c:strCache>
            </c:strRef>
          </c:cat>
          <c:val>
            <c:numRef>
              <c:f>'Pivot Report'!$G$27:$G$30</c:f>
              <c:numCache>
                <c:formatCode>_-* #,##0_-;\-* #,##0_-;_-* "-"??_-;_-@_-</c:formatCode>
                <c:ptCount val="3"/>
                <c:pt idx="0">
                  <c:v>400</c:v>
                </c:pt>
                <c:pt idx="1">
                  <c:v>337</c:v>
                </c:pt>
                <c:pt idx="2">
                  <c:v>131</c:v>
                </c:pt>
              </c:numCache>
            </c:numRef>
          </c:val>
          <c:extLst>
            <c:ext xmlns:c16="http://schemas.microsoft.com/office/drawing/2014/chart" uri="{C3380CC4-5D6E-409C-BE32-E72D297353CC}">
              <c16:uniqueId val="{00000000-DD6A-4ACD-94AD-E7AE5E02B601}"/>
            </c:ext>
          </c:extLst>
        </c:ser>
        <c:dLbls>
          <c:showLegendKey val="0"/>
          <c:showVal val="0"/>
          <c:showCatName val="0"/>
          <c:showSerName val="0"/>
          <c:showPercent val="0"/>
          <c:showBubbleSize val="0"/>
        </c:dLbls>
        <c:gapWidth val="182"/>
        <c:axId val="541984127"/>
        <c:axId val="142478128"/>
      </c:barChart>
      <c:catAx>
        <c:axId val="54198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42478128"/>
        <c:crosses val="autoZero"/>
        <c:auto val="1"/>
        <c:lblAlgn val="ctr"/>
        <c:lblOffset val="100"/>
        <c:noMultiLvlLbl val="0"/>
      </c:catAx>
      <c:valAx>
        <c:axId val="142478128"/>
        <c:scaling>
          <c:orientation val="minMax"/>
        </c:scaling>
        <c:delete val="1"/>
        <c:axPos val="b"/>
        <c:numFmt formatCode="_-* #,##0_-;\-* #,##0_-;_-* &quot;-&quot;??_-;_-@_-" sourceLinked="1"/>
        <c:majorTickMark val="none"/>
        <c:minorTickMark val="none"/>
        <c:tickLblPos val="nextTo"/>
        <c:crossAx val="54198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394607</xdr:colOff>
      <xdr:row>1</xdr:row>
      <xdr:rowOff>69908</xdr:rowOff>
    </xdr:from>
    <xdr:to>
      <xdr:col>2</xdr:col>
      <xdr:colOff>89058</xdr:colOff>
      <xdr:row>20</xdr:row>
      <xdr:rowOff>139199</xdr:rowOff>
    </xdr:to>
    <xdr:sp macro="" textlink="">
      <xdr:nvSpPr>
        <xdr:cNvPr id="3" name="Rectangle: Rounded Corners 2">
          <a:extLst>
            <a:ext uri="{FF2B5EF4-FFF2-40B4-BE49-F238E27FC236}">
              <a16:creationId xmlns:a16="http://schemas.microsoft.com/office/drawing/2014/main" id="{445B17FA-C95D-4306-0C46-ACAEC4DBDFD5}"/>
            </a:ext>
          </a:extLst>
        </xdr:cNvPr>
        <xdr:cNvSpPr/>
      </xdr:nvSpPr>
      <xdr:spPr>
        <a:xfrm>
          <a:off x="394607" y="256330"/>
          <a:ext cx="917845" cy="3622961"/>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2</xdr:col>
      <xdr:colOff>200638</xdr:colOff>
      <xdr:row>1</xdr:row>
      <xdr:rowOff>76200</xdr:rowOff>
    </xdr:from>
    <xdr:to>
      <xdr:col>4</xdr:col>
      <xdr:colOff>513841</xdr:colOff>
      <xdr:row>5</xdr:row>
      <xdr:rowOff>20981</xdr:rowOff>
    </xdr:to>
    <xdr:sp macro="" textlink="">
      <xdr:nvSpPr>
        <xdr:cNvPr id="4" name="Rectangle: Rounded Corners 3">
          <a:extLst>
            <a:ext uri="{FF2B5EF4-FFF2-40B4-BE49-F238E27FC236}">
              <a16:creationId xmlns:a16="http://schemas.microsoft.com/office/drawing/2014/main" id="{3AB9F97F-D706-D528-18D6-3D69B8CA88E4}"/>
            </a:ext>
          </a:extLst>
        </xdr:cNvPr>
        <xdr:cNvSpPr/>
      </xdr:nvSpPr>
      <xdr:spPr>
        <a:xfrm rot="5400000">
          <a:off x="1841116" y="-158811"/>
          <a:ext cx="689847" cy="1532403"/>
        </a:xfrm>
        <a:prstGeom prst="roundRect">
          <a:avLst>
            <a:gd name="adj" fmla="val 13359"/>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4</xdr:col>
      <xdr:colOff>608439</xdr:colOff>
      <xdr:row>1</xdr:row>
      <xdr:rowOff>84666</xdr:rowOff>
    </xdr:from>
    <xdr:to>
      <xdr:col>7</xdr:col>
      <xdr:colOff>312042</xdr:colOff>
      <xdr:row>5</xdr:row>
      <xdr:rowOff>20981</xdr:rowOff>
    </xdr:to>
    <xdr:sp macro="" textlink="">
      <xdr:nvSpPr>
        <xdr:cNvPr id="8" name="Rectangle: Rounded Corners 7">
          <a:extLst>
            <a:ext uri="{FF2B5EF4-FFF2-40B4-BE49-F238E27FC236}">
              <a16:creationId xmlns:a16="http://schemas.microsoft.com/office/drawing/2014/main" id="{6B3CB8D2-8E9D-E9F8-904F-B8B2C358AE9D}"/>
            </a:ext>
          </a:extLst>
        </xdr:cNvPr>
        <xdr:cNvSpPr/>
      </xdr:nvSpPr>
      <xdr:spPr>
        <a:xfrm rot="5400000">
          <a:off x="3472350" y="-154578"/>
          <a:ext cx="681381" cy="1532403"/>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7</xdr:col>
      <xdr:colOff>406642</xdr:colOff>
      <xdr:row>1</xdr:row>
      <xdr:rowOff>71969</xdr:rowOff>
    </xdr:from>
    <xdr:to>
      <xdr:col>10</xdr:col>
      <xdr:colOff>111004</xdr:colOff>
      <xdr:row>5</xdr:row>
      <xdr:rowOff>20983</xdr:rowOff>
    </xdr:to>
    <xdr:sp macro="" textlink="">
      <xdr:nvSpPr>
        <xdr:cNvPr id="9" name="Rectangle: Rounded Corners 8">
          <a:extLst>
            <a:ext uri="{FF2B5EF4-FFF2-40B4-BE49-F238E27FC236}">
              <a16:creationId xmlns:a16="http://schemas.microsoft.com/office/drawing/2014/main" id="{DB3DB1A9-4A1D-D518-3B44-FD0A5FD7EDCC}"/>
            </a:ext>
          </a:extLst>
        </xdr:cNvPr>
        <xdr:cNvSpPr/>
      </xdr:nvSpPr>
      <xdr:spPr>
        <a:xfrm rot="5400000">
          <a:off x="5093383" y="-161305"/>
          <a:ext cx="694080" cy="1533162"/>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10</xdr:col>
      <xdr:colOff>205602</xdr:colOff>
      <xdr:row>1</xdr:row>
      <xdr:rowOff>76203</xdr:rowOff>
    </xdr:from>
    <xdr:to>
      <xdr:col>12</xdr:col>
      <xdr:colOff>537752</xdr:colOff>
      <xdr:row>5</xdr:row>
      <xdr:rowOff>25711</xdr:rowOff>
    </xdr:to>
    <xdr:sp macro="" textlink="">
      <xdr:nvSpPr>
        <xdr:cNvPr id="10" name="Rectangle: Rounded Corners 9">
          <a:extLst>
            <a:ext uri="{FF2B5EF4-FFF2-40B4-BE49-F238E27FC236}">
              <a16:creationId xmlns:a16="http://schemas.microsoft.com/office/drawing/2014/main" id="{521CC568-C117-6237-0235-85D97FE6AED1}"/>
            </a:ext>
          </a:extLst>
        </xdr:cNvPr>
        <xdr:cNvSpPr/>
      </xdr:nvSpPr>
      <xdr:spPr>
        <a:xfrm rot="5400000">
          <a:off x="6729990" y="-165918"/>
          <a:ext cx="694574" cy="1551350"/>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2</xdr:col>
      <xdr:colOff>212467</xdr:colOff>
      <xdr:row>5</xdr:row>
      <xdr:rowOff>104862</xdr:rowOff>
    </xdr:from>
    <xdr:to>
      <xdr:col>4</xdr:col>
      <xdr:colOff>525670</xdr:colOff>
      <xdr:row>12</xdr:row>
      <xdr:rowOff>111307</xdr:rowOff>
    </xdr:to>
    <xdr:sp macro="" textlink="">
      <xdr:nvSpPr>
        <xdr:cNvPr id="11" name="Rectangle: Rounded Corners 10">
          <a:extLst>
            <a:ext uri="{FF2B5EF4-FFF2-40B4-BE49-F238E27FC236}">
              <a16:creationId xmlns:a16="http://schemas.microsoft.com/office/drawing/2014/main" id="{E99990D3-ED66-FF00-C8A6-43998E0D09C2}"/>
            </a:ext>
          </a:extLst>
        </xdr:cNvPr>
        <xdr:cNvSpPr/>
      </xdr:nvSpPr>
      <xdr:spPr>
        <a:xfrm rot="5400000">
          <a:off x="1542634" y="930199"/>
          <a:ext cx="1323051" cy="1536598"/>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5</xdr:col>
      <xdr:colOff>34928</xdr:colOff>
      <xdr:row>5</xdr:row>
      <xdr:rowOff>104862</xdr:rowOff>
    </xdr:from>
    <xdr:to>
      <xdr:col>7</xdr:col>
      <xdr:colOff>348131</xdr:colOff>
      <xdr:row>12</xdr:row>
      <xdr:rowOff>111307</xdr:rowOff>
    </xdr:to>
    <xdr:sp macro="" textlink="">
      <xdr:nvSpPr>
        <xdr:cNvPr id="12" name="Rectangle: Rounded Corners 11">
          <a:extLst>
            <a:ext uri="{FF2B5EF4-FFF2-40B4-BE49-F238E27FC236}">
              <a16:creationId xmlns:a16="http://schemas.microsoft.com/office/drawing/2014/main" id="{030FC179-7A46-B1F2-7443-AD8A16DC1156}"/>
            </a:ext>
          </a:extLst>
        </xdr:cNvPr>
        <xdr:cNvSpPr/>
      </xdr:nvSpPr>
      <xdr:spPr>
        <a:xfrm rot="5400000">
          <a:off x="3200187" y="930199"/>
          <a:ext cx="1323051" cy="1536598"/>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7</xdr:col>
      <xdr:colOff>466990</xdr:colOff>
      <xdr:row>5</xdr:row>
      <xdr:rowOff>104862</xdr:rowOff>
    </xdr:from>
    <xdr:to>
      <xdr:col>12</xdr:col>
      <xdr:colOff>569596</xdr:colOff>
      <xdr:row>12</xdr:row>
      <xdr:rowOff>111308</xdr:rowOff>
    </xdr:to>
    <xdr:sp macro="" textlink="">
      <xdr:nvSpPr>
        <xdr:cNvPr id="13" name="Rectangle: Rounded Corners 12">
          <a:extLst>
            <a:ext uri="{FF2B5EF4-FFF2-40B4-BE49-F238E27FC236}">
              <a16:creationId xmlns:a16="http://schemas.microsoft.com/office/drawing/2014/main" id="{5FEDFB08-115D-0102-12B7-44879517C0D6}"/>
            </a:ext>
          </a:extLst>
        </xdr:cNvPr>
        <xdr:cNvSpPr/>
      </xdr:nvSpPr>
      <xdr:spPr>
        <a:xfrm rot="5400000">
          <a:off x="5667891" y="117952"/>
          <a:ext cx="1323052" cy="3161092"/>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2</xdr:col>
      <xdr:colOff>201548</xdr:colOff>
      <xdr:row>13</xdr:row>
      <xdr:rowOff>5826</xdr:rowOff>
    </xdr:from>
    <xdr:to>
      <xdr:col>5</xdr:col>
      <xdr:colOff>478919</xdr:colOff>
      <xdr:row>20</xdr:row>
      <xdr:rowOff>143932</xdr:rowOff>
    </xdr:to>
    <xdr:sp macro="" textlink="">
      <xdr:nvSpPr>
        <xdr:cNvPr id="14" name="Rectangle: Rounded Corners 13">
          <a:extLst>
            <a:ext uri="{FF2B5EF4-FFF2-40B4-BE49-F238E27FC236}">
              <a16:creationId xmlns:a16="http://schemas.microsoft.com/office/drawing/2014/main" id="{CCEAA0C4-65F9-3427-3A39-E6281D72506C}"/>
            </a:ext>
          </a:extLst>
        </xdr:cNvPr>
        <xdr:cNvSpPr/>
      </xdr:nvSpPr>
      <xdr:spPr>
        <a:xfrm rot="5400000">
          <a:off x="1759644" y="2106262"/>
          <a:ext cx="1443060" cy="2112463"/>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5</xdr:col>
      <xdr:colOff>601724</xdr:colOff>
      <xdr:row>13</xdr:row>
      <xdr:rowOff>17480</xdr:rowOff>
    </xdr:from>
    <xdr:to>
      <xdr:col>9</xdr:col>
      <xdr:colOff>269495</xdr:colOff>
      <xdr:row>20</xdr:row>
      <xdr:rowOff>143933</xdr:rowOff>
    </xdr:to>
    <xdr:sp macro="" textlink="">
      <xdr:nvSpPr>
        <xdr:cNvPr id="19" name="Rectangle: Rounded Corners 18">
          <a:extLst>
            <a:ext uri="{FF2B5EF4-FFF2-40B4-BE49-F238E27FC236}">
              <a16:creationId xmlns:a16="http://schemas.microsoft.com/office/drawing/2014/main" id="{EA404624-1652-BFFF-7680-64249D15E332}"/>
            </a:ext>
          </a:extLst>
        </xdr:cNvPr>
        <xdr:cNvSpPr/>
      </xdr:nvSpPr>
      <xdr:spPr>
        <a:xfrm rot="5400000">
          <a:off x="4001786" y="2111042"/>
          <a:ext cx="1431407" cy="2114560"/>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9</xdr:col>
      <xdr:colOff>403953</xdr:colOff>
      <xdr:row>13</xdr:row>
      <xdr:rowOff>29131</xdr:rowOff>
    </xdr:from>
    <xdr:to>
      <xdr:col>12</xdr:col>
      <xdr:colOff>585795</xdr:colOff>
      <xdr:row>20</xdr:row>
      <xdr:rowOff>139816</xdr:rowOff>
    </xdr:to>
    <xdr:sp macro="" textlink="">
      <xdr:nvSpPr>
        <xdr:cNvPr id="20" name="Rectangle: Rounded Corners 19">
          <a:extLst>
            <a:ext uri="{FF2B5EF4-FFF2-40B4-BE49-F238E27FC236}">
              <a16:creationId xmlns:a16="http://schemas.microsoft.com/office/drawing/2014/main" id="{2D961953-71E5-2B34-6FD0-8A2FC3024C88}"/>
            </a:ext>
          </a:extLst>
        </xdr:cNvPr>
        <xdr:cNvSpPr/>
      </xdr:nvSpPr>
      <xdr:spPr>
        <a:xfrm rot="5400000">
          <a:off x="6209875" y="2163622"/>
          <a:ext cx="1415639" cy="2016934"/>
        </a:xfrm>
        <a:prstGeom prst="roundRect">
          <a:avLst>
            <a:gd name="adj" fmla="val 8420"/>
          </a:avLst>
        </a:prstGeom>
        <a:solidFill>
          <a:schemeClr val="bg2"/>
        </a:solidFill>
        <a:ln w="9525">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editAs="oneCell">
    <xdr:from>
      <xdr:col>5</xdr:col>
      <xdr:colOff>54725</xdr:colOff>
      <xdr:row>2</xdr:row>
      <xdr:rowOff>68037</xdr:rowOff>
    </xdr:from>
    <xdr:to>
      <xdr:col>5</xdr:col>
      <xdr:colOff>498929</xdr:colOff>
      <xdr:row>4</xdr:row>
      <xdr:rowOff>172357</xdr:rowOff>
    </xdr:to>
    <xdr:pic>
      <xdr:nvPicPr>
        <xdr:cNvPr id="23" name="Picture 22">
          <a:extLst>
            <a:ext uri="{FF2B5EF4-FFF2-40B4-BE49-F238E27FC236}">
              <a16:creationId xmlns:a16="http://schemas.microsoft.com/office/drawing/2014/main" id="{C88E1252-A119-6897-1AE0-A5D61EC5DB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3654" y="254001"/>
          <a:ext cx="444204" cy="476250"/>
        </a:xfrm>
        <a:prstGeom prst="rect">
          <a:avLst/>
        </a:prstGeom>
      </xdr:spPr>
    </xdr:pic>
    <xdr:clientData/>
  </xdr:twoCellAnchor>
  <xdr:twoCellAnchor editAs="oneCell">
    <xdr:from>
      <xdr:col>10</xdr:col>
      <xdr:colOff>267606</xdr:colOff>
      <xdr:row>2</xdr:row>
      <xdr:rowOff>9071</xdr:rowOff>
    </xdr:from>
    <xdr:to>
      <xdr:col>11</xdr:col>
      <xdr:colOff>104321</xdr:colOff>
      <xdr:row>4</xdr:row>
      <xdr:rowOff>172356</xdr:rowOff>
    </xdr:to>
    <xdr:pic>
      <xdr:nvPicPr>
        <xdr:cNvPr id="25" name="Picture 24">
          <a:extLst>
            <a:ext uri="{FF2B5EF4-FFF2-40B4-BE49-F238E27FC236}">
              <a16:creationId xmlns:a16="http://schemas.microsoft.com/office/drawing/2014/main" id="{2215C61D-6624-524B-36E9-570F78EC63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45463" y="195035"/>
          <a:ext cx="444501" cy="535215"/>
        </a:xfrm>
        <a:prstGeom prst="rect">
          <a:avLst/>
        </a:prstGeom>
      </xdr:spPr>
    </xdr:pic>
    <xdr:clientData/>
  </xdr:twoCellAnchor>
  <xdr:twoCellAnchor editAs="oneCell">
    <xdr:from>
      <xdr:col>7</xdr:col>
      <xdr:colOff>412749</xdr:colOff>
      <xdr:row>1</xdr:row>
      <xdr:rowOff>181428</xdr:rowOff>
    </xdr:from>
    <xdr:to>
      <xdr:col>8</xdr:col>
      <xdr:colOff>335643</xdr:colOff>
      <xdr:row>4</xdr:row>
      <xdr:rowOff>158750</xdr:rowOff>
    </xdr:to>
    <xdr:pic>
      <xdr:nvPicPr>
        <xdr:cNvPr id="29" name="Picture 28">
          <a:extLst>
            <a:ext uri="{FF2B5EF4-FFF2-40B4-BE49-F238E27FC236}">
              <a16:creationId xmlns:a16="http://schemas.microsoft.com/office/drawing/2014/main" id="{CC046984-783B-9682-9650-719CF67C2DB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67249" y="181428"/>
          <a:ext cx="530680" cy="535215"/>
        </a:xfrm>
        <a:prstGeom prst="rect">
          <a:avLst/>
        </a:prstGeom>
      </xdr:spPr>
    </xdr:pic>
    <xdr:clientData/>
  </xdr:twoCellAnchor>
  <xdr:twoCellAnchor editAs="oneCell">
    <xdr:from>
      <xdr:col>2</xdr:col>
      <xdr:colOff>167821</xdr:colOff>
      <xdr:row>2</xdr:row>
      <xdr:rowOff>72572</xdr:rowOff>
    </xdr:from>
    <xdr:to>
      <xdr:col>3</xdr:col>
      <xdr:colOff>122464</xdr:colOff>
      <xdr:row>4</xdr:row>
      <xdr:rowOff>126117</xdr:rowOff>
    </xdr:to>
    <xdr:pic>
      <xdr:nvPicPr>
        <xdr:cNvPr id="30" name="Picture 29">
          <a:extLst>
            <a:ext uri="{FF2B5EF4-FFF2-40B4-BE49-F238E27FC236}">
              <a16:creationId xmlns:a16="http://schemas.microsoft.com/office/drawing/2014/main" id="{222FF971-DA5C-51BB-7D71-76AB317944AD}"/>
            </a:ext>
          </a:extLst>
        </xdr:cNvPr>
        <xdr:cNvPicPr>
          <a:picLocks noChangeAspect="1"/>
        </xdr:cNvPicPr>
      </xdr:nvPicPr>
      <xdr:blipFill>
        <a:blip xmlns:r="http://schemas.openxmlformats.org/officeDocument/2006/relationships" r:embed="rId4"/>
        <a:stretch>
          <a:fillRect/>
        </a:stretch>
      </xdr:blipFill>
      <xdr:spPr>
        <a:xfrm flipH="1">
          <a:off x="1383392" y="258536"/>
          <a:ext cx="562429" cy="425475"/>
        </a:xfrm>
        <a:prstGeom prst="rect">
          <a:avLst/>
        </a:prstGeom>
      </xdr:spPr>
    </xdr:pic>
    <xdr:clientData/>
  </xdr:twoCellAnchor>
  <xdr:twoCellAnchor>
    <xdr:from>
      <xdr:col>3</xdr:col>
      <xdr:colOff>163285</xdr:colOff>
      <xdr:row>2</xdr:row>
      <xdr:rowOff>31750</xdr:rowOff>
    </xdr:from>
    <xdr:to>
      <xdr:col>4</xdr:col>
      <xdr:colOff>517071</xdr:colOff>
      <xdr:row>3</xdr:row>
      <xdr:rowOff>81642</xdr:rowOff>
    </xdr:to>
    <xdr:sp macro="" textlink="'Pivot Report'!A4">
      <xdr:nvSpPr>
        <xdr:cNvPr id="31" name="TextBox 30">
          <a:extLst>
            <a:ext uri="{FF2B5EF4-FFF2-40B4-BE49-F238E27FC236}">
              <a16:creationId xmlns:a16="http://schemas.microsoft.com/office/drawing/2014/main" id="{DCEFA420-1511-BB71-D371-C3BCBFD96581}"/>
            </a:ext>
          </a:extLst>
        </xdr:cNvPr>
        <xdr:cNvSpPr txBox="1"/>
      </xdr:nvSpPr>
      <xdr:spPr>
        <a:xfrm>
          <a:off x="1986642" y="217714"/>
          <a:ext cx="961572"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67922F0-EC90-404D-9358-28B481F1AD34}" type="TxLink">
            <a:rPr lang="en-US" sz="1400" b="0" i="0" u="none" strike="noStrike">
              <a:solidFill>
                <a:srgbClr val="000000"/>
              </a:solidFill>
              <a:latin typeface="Aptos Slab SemiBold" panose="020B0004020202020204" pitchFamily="34" charset="0"/>
            </a:rPr>
            <a:pPr/>
            <a:t> 273,466 </a:t>
          </a:fld>
          <a:endParaRPr lang="en-GB" sz="1400">
            <a:latin typeface="Aptos Slab SemiBold" panose="020B0004020202020204" pitchFamily="34" charset="0"/>
          </a:endParaRPr>
        </a:p>
      </xdr:txBody>
    </xdr:sp>
    <xdr:clientData/>
  </xdr:twoCellAnchor>
  <xdr:twoCellAnchor>
    <xdr:from>
      <xdr:col>5</xdr:col>
      <xdr:colOff>594178</xdr:colOff>
      <xdr:row>2</xdr:row>
      <xdr:rowOff>31750</xdr:rowOff>
    </xdr:from>
    <xdr:to>
      <xdr:col>7</xdr:col>
      <xdr:colOff>340179</xdr:colOff>
      <xdr:row>3</xdr:row>
      <xdr:rowOff>81642</xdr:rowOff>
    </xdr:to>
    <xdr:sp macro="" textlink="'Pivot Report'!A17">
      <xdr:nvSpPr>
        <xdr:cNvPr id="45" name="TextBox 44">
          <a:extLst>
            <a:ext uri="{FF2B5EF4-FFF2-40B4-BE49-F238E27FC236}">
              <a16:creationId xmlns:a16="http://schemas.microsoft.com/office/drawing/2014/main" id="{7E4C57BF-6BAF-A974-4DFA-D00E2CE21AE1}"/>
            </a:ext>
          </a:extLst>
        </xdr:cNvPr>
        <xdr:cNvSpPr txBox="1"/>
      </xdr:nvSpPr>
      <xdr:spPr>
        <a:xfrm>
          <a:off x="3633107" y="217714"/>
          <a:ext cx="961572"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5CCB929-D70D-4945-BBA3-7C8492A49398}" type="TxLink">
            <a:rPr lang="en-US" sz="1600" b="0" i="0" u="none" strike="noStrike">
              <a:solidFill>
                <a:srgbClr val="000000"/>
              </a:solidFill>
              <a:latin typeface="Aptos Slab SemiBold" panose="020B0004020202020204" pitchFamily="34" charset="0"/>
            </a:rPr>
            <a:pPr/>
            <a:t> 783.57 </a:t>
          </a:fld>
          <a:endParaRPr lang="en-GB" sz="2000">
            <a:latin typeface="Aptos Slab SemiBold" panose="020B0004020202020204" pitchFamily="34" charset="0"/>
          </a:endParaRPr>
        </a:p>
      </xdr:txBody>
    </xdr:sp>
    <xdr:clientData/>
  </xdr:twoCellAnchor>
  <xdr:twoCellAnchor>
    <xdr:from>
      <xdr:col>8</xdr:col>
      <xdr:colOff>480786</xdr:colOff>
      <xdr:row>2</xdr:row>
      <xdr:rowOff>27215</xdr:rowOff>
    </xdr:from>
    <xdr:to>
      <xdr:col>10</xdr:col>
      <xdr:colOff>226787</xdr:colOff>
      <xdr:row>3</xdr:row>
      <xdr:rowOff>77107</xdr:rowOff>
    </xdr:to>
    <xdr:sp macro="" textlink="'Pivot Report'!A13">
      <xdr:nvSpPr>
        <xdr:cNvPr id="46" name="TextBox 45">
          <a:extLst>
            <a:ext uri="{FF2B5EF4-FFF2-40B4-BE49-F238E27FC236}">
              <a16:creationId xmlns:a16="http://schemas.microsoft.com/office/drawing/2014/main" id="{5242A10C-7E0C-9798-5903-A6A6170D69B5}"/>
            </a:ext>
          </a:extLst>
        </xdr:cNvPr>
        <xdr:cNvSpPr txBox="1"/>
      </xdr:nvSpPr>
      <xdr:spPr>
        <a:xfrm>
          <a:off x="5343072" y="213179"/>
          <a:ext cx="961572"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605ACF8-5873-4800-8F9F-037015EAD2B3}" type="TxLink">
            <a:rPr lang="en-US" sz="1600" b="0" i="0" u="none" strike="noStrike">
              <a:solidFill>
                <a:srgbClr val="000000"/>
              </a:solidFill>
              <a:latin typeface="Aptos Slab SemiBold" panose="020B0004020202020204" pitchFamily="34" charset="0"/>
            </a:rPr>
            <a:pPr/>
            <a:t> 349 </a:t>
          </a:fld>
          <a:endParaRPr lang="en-GB" sz="2000">
            <a:latin typeface="Aptos Slab SemiBold" panose="020B0004020202020204" pitchFamily="34" charset="0"/>
          </a:endParaRPr>
        </a:p>
      </xdr:txBody>
    </xdr:sp>
    <xdr:clientData/>
  </xdr:twoCellAnchor>
  <xdr:twoCellAnchor>
    <xdr:from>
      <xdr:col>11</xdr:col>
      <xdr:colOff>263072</xdr:colOff>
      <xdr:row>2</xdr:row>
      <xdr:rowOff>27215</xdr:rowOff>
    </xdr:from>
    <xdr:to>
      <xdr:col>13</xdr:col>
      <xdr:colOff>9073</xdr:colOff>
      <xdr:row>3</xdr:row>
      <xdr:rowOff>77107</xdr:rowOff>
    </xdr:to>
    <xdr:sp macro="" textlink="'Pivot Report'!A9">
      <xdr:nvSpPr>
        <xdr:cNvPr id="47" name="TextBox 46">
          <a:extLst>
            <a:ext uri="{FF2B5EF4-FFF2-40B4-BE49-F238E27FC236}">
              <a16:creationId xmlns:a16="http://schemas.microsoft.com/office/drawing/2014/main" id="{0F392925-A8DF-A5E4-9DB8-9DA6D0431ACF}"/>
            </a:ext>
          </a:extLst>
        </xdr:cNvPr>
        <xdr:cNvSpPr txBox="1"/>
      </xdr:nvSpPr>
      <xdr:spPr>
        <a:xfrm>
          <a:off x="6948715" y="213179"/>
          <a:ext cx="961572"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7B49BB6-64EA-45FE-B011-C30801EDB008}" type="TxLink">
            <a:rPr lang="en-US" sz="1600" b="0" i="0" u="none" strike="noStrike">
              <a:solidFill>
                <a:srgbClr val="000000"/>
              </a:solidFill>
              <a:latin typeface="Aptos Slab SemiBold" panose="020B0004020202020204" pitchFamily="34" charset="0"/>
            </a:rPr>
            <a:pPr/>
            <a:t> 868 </a:t>
          </a:fld>
          <a:endParaRPr lang="en-GB" sz="2000">
            <a:latin typeface="Aptos Slab SemiBold" panose="020B0004020202020204" pitchFamily="34" charset="0"/>
          </a:endParaRPr>
        </a:p>
      </xdr:txBody>
    </xdr:sp>
    <xdr:clientData/>
  </xdr:twoCellAnchor>
  <xdr:twoCellAnchor>
    <xdr:from>
      <xdr:col>3</xdr:col>
      <xdr:colOff>136072</xdr:colOff>
      <xdr:row>3</xdr:row>
      <xdr:rowOff>140607</xdr:rowOff>
    </xdr:from>
    <xdr:to>
      <xdr:col>4</xdr:col>
      <xdr:colOff>381000</xdr:colOff>
      <xdr:row>5</xdr:row>
      <xdr:rowOff>0</xdr:rowOff>
    </xdr:to>
    <xdr:sp macro="" textlink="">
      <xdr:nvSpPr>
        <xdr:cNvPr id="52" name="TextBox 51">
          <a:extLst>
            <a:ext uri="{FF2B5EF4-FFF2-40B4-BE49-F238E27FC236}">
              <a16:creationId xmlns:a16="http://schemas.microsoft.com/office/drawing/2014/main" id="{EEC17E07-60EE-F1C3-78D1-46A64B40A27D}"/>
            </a:ext>
          </a:extLst>
        </xdr:cNvPr>
        <xdr:cNvSpPr txBox="1"/>
      </xdr:nvSpPr>
      <xdr:spPr>
        <a:xfrm>
          <a:off x="1959429" y="512536"/>
          <a:ext cx="852714"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100">
              <a:latin typeface="Aptos Slab SemiBold" panose="020B0004020202020204" pitchFamily="34" charset="0"/>
            </a:rPr>
            <a:t>Total Sales</a:t>
          </a:r>
        </a:p>
      </xdr:txBody>
    </xdr:sp>
    <xdr:clientData/>
  </xdr:twoCellAnchor>
  <xdr:twoCellAnchor>
    <xdr:from>
      <xdr:col>5</xdr:col>
      <xdr:colOff>566964</xdr:colOff>
      <xdr:row>3</xdr:row>
      <xdr:rowOff>140607</xdr:rowOff>
    </xdr:from>
    <xdr:to>
      <xdr:col>7</xdr:col>
      <xdr:colOff>331107</xdr:colOff>
      <xdr:row>5</xdr:row>
      <xdr:rowOff>0</xdr:rowOff>
    </xdr:to>
    <xdr:sp macro="" textlink="">
      <xdr:nvSpPr>
        <xdr:cNvPr id="53" name="TextBox 52">
          <a:extLst>
            <a:ext uri="{FF2B5EF4-FFF2-40B4-BE49-F238E27FC236}">
              <a16:creationId xmlns:a16="http://schemas.microsoft.com/office/drawing/2014/main" id="{902C5936-1A59-EBB6-3F18-B74572F1EFB7}"/>
            </a:ext>
          </a:extLst>
        </xdr:cNvPr>
        <xdr:cNvSpPr txBox="1"/>
      </xdr:nvSpPr>
      <xdr:spPr>
        <a:xfrm>
          <a:off x="3605893" y="512536"/>
          <a:ext cx="979714"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100">
              <a:latin typeface="Aptos Slab SemiBold" panose="020B0004020202020204" pitchFamily="34" charset="0"/>
            </a:rPr>
            <a:t>Sales</a:t>
          </a:r>
          <a:r>
            <a:rPr lang="en-GB" sz="1100" baseline="0">
              <a:latin typeface="Aptos Slab SemiBold" panose="020B0004020202020204" pitchFamily="34" charset="0"/>
            </a:rPr>
            <a:t> Average</a:t>
          </a:r>
          <a:endParaRPr lang="en-GB" sz="1100">
            <a:latin typeface="Aptos Slab SemiBold" panose="020B0004020202020204" pitchFamily="34" charset="0"/>
          </a:endParaRPr>
        </a:p>
      </xdr:txBody>
    </xdr:sp>
    <xdr:clientData/>
  </xdr:twoCellAnchor>
  <xdr:twoCellAnchor>
    <xdr:from>
      <xdr:col>8</xdr:col>
      <xdr:colOff>390073</xdr:colOff>
      <xdr:row>3</xdr:row>
      <xdr:rowOff>140607</xdr:rowOff>
    </xdr:from>
    <xdr:to>
      <xdr:col>10</xdr:col>
      <xdr:colOff>27216</xdr:colOff>
      <xdr:row>5</xdr:row>
      <xdr:rowOff>0</xdr:rowOff>
    </xdr:to>
    <xdr:sp macro="" textlink="">
      <xdr:nvSpPr>
        <xdr:cNvPr id="54" name="TextBox 53">
          <a:extLst>
            <a:ext uri="{FF2B5EF4-FFF2-40B4-BE49-F238E27FC236}">
              <a16:creationId xmlns:a16="http://schemas.microsoft.com/office/drawing/2014/main" id="{B9F40FCD-9706-8722-B8C5-4C987C226AB1}"/>
            </a:ext>
          </a:extLst>
        </xdr:cNvPr>
        <xdr:cNvSpPr txBox="1"/>
      </xdr:nvSpPr>
      <xdr:spPr>
        <a:xfrm>
          <a:off x="5252359" y="512536"/>
          <a:ext cx="852714"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100">
              <a:latin typeface="Aptos Slab SemiBold" panose="020B0004020202020204" pitchFamily="34" charset="0"/>
            </a:rPr>
            <a:t>Transactions</a:t>
          </a:r>
        </a:p>
      </xdr:txBody>
    </xdr:sp>
    <xdr:clientData/>
  </xdr:twoCellAnchor>
  <xdr:twoCellAnchor>
    <xdr:from>
      <xdr:col>11</xdr:col>
      <xdr:colOff>172356</xdr:colOff>
      <xdr:row>3</xdr:row>
      <xdr:rowOff>140607</xdr:rowOff>
    </xdr:from>
    <xdr:to>
      <xdr:col>12</xdr:col>
      <xdr:colOff>598713</xdr:colOff>
      <xdr:row>5</xdr:row>
      <xdr:rowOff>0</xdr:rowOff>
    </xdr:to>
    <xdr:sp macro="" textlink="">
      <xdr:nvSpPr>
        <xdr:cNvPr id="55" name="TextBox 54">
          <a:extLst>
            <a:ext uri="{FF2B5EF4-FFF2-40B4-BE49-F238E27FC236}">
              <a16:creationId xmlns:a16="http://schemas.microsoft.com/office/drawing/2014/main" id="{228D8052-590E-9373-193A-DF4078886729}"/>
            </a:ext>
          </a:extLst>
        </xdr:cNvPr>
        <xdr:cNvSpPr txBox="1"/>
      </xdr:nvSpPr>
      <xdr:spPr>
        <a:xfrm>
          <a:off x="6857999" y="512536"/>
          <a:ext cx="1034143"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100">
              <a:latin typeface="Aptos Slab SemiBold" panose="020B0004020202020204" pitchFamily="34" charset="0"/>
            </a:rPr>
            <a:t>Total</a:t>
          </a:r>
          <a:r>
            <a:rPr lang="en-GB" sz="1100" baseline="0">
              <a:latin typeface="Aptos Slab SemiBold" panose="020B0004020202020204" pitchFamily="34" charset="0"/>
            </a:rPr>
            <a:t> Quantity</a:t>
          </a:r>
          <a:endParaRPr lang="en-GB" sz="1100">
            <a:latin typeface="Aptos Slab SemiBold" panose="020B0004020202020204" pitchFamily="34" charset="0"/>
          </a:endParaRPr>
        </a:p>
      </xdr:txBody>
    </xdr:sp>
    <xdr:clientData/>
  </xdr:twoCellAnchor>
  <xdr:twoCellAnchor>
    <xdr:from>
      <xdr:col>2</xdr:col>
      <xdr:colOff>149678</xdr:colOff>
      <xdr:row>5</xdr:row>
      <xdr:rowOff>104862</xdr:rowOff>
    </xdr:from>
    <xdr:to>
      <xdr:col>5</xdr:col>
      <xdr:colOff>54320</xdr:colOff>
      <xdr:row>11</xdr:row>
      <xdr:rowOff>113393</xdr:rowOff>
    </xdr:to>
    <xdr:graphicFrame macro="">
      <xdr:nvGraphicFramePr>
        <xdr:cNvPr id="56" name="Chart 55">
          <a:extLst>
            <a:ext uri="{FF2B5EF4-FFF2-40B4-BE49-F238E27FC236}">
              <a16:creationId xmlns:a16="http://schemas.microsoft.com/office/drawing/2014/main" id="{7D66AEEA-1301-4BC6-842B-7200586DA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417285</xdr:colOff>
      <xdr:row>6</xdr:row>
      <xdr:rowOff>18143</xdr:rowOff>
    </xdr:from>
    <xdr:to>
      <xdr:col>8</xdr:col>
      <xdr:colOff>36283</xdr:colOff>
      <xdr:row>11</xdr:row>
      <xdr:rowOff>154214</xdr:rowOff>
    </xdr:to>
    <xdr:graphicFrame macro="">
      <xdr:nvGraphicFramePr>
        <xdr:cNvPr id="57" name="Chart 56">
          <a:extLst>
            <a:ext uri="{FF2B5EF4-FFF2-40B4-BE49-F238E27FC236}">
              <a16:creationId xmlns:a16="http://schemas.microsoft.com/office/drawing/2014/main" id="{D53F2BF9-30AA-4D45-A038-8A8A67B22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517071</xdr:colOff>
      <xdr:row>6</xdr:row>
      <xdr:rowOff>108856</xdr:rowOff>
    </xdr:from>
    <xdr:to>
      <xdr:col>12</xdr:col>
      <xdr:colOff>453572</xdr:colOff>
      <xdr:row>11</xdr:row>
      <xdr:rowOff>149677</xdr:rowOff>
    </xdr:to>
    <xdr:graphicFrame macro="">
      <xdr:nvGraphicFramePr>
        <xdr:cNvPr id="58" name="Chart 57">
          <a:extLst>
            <a:ext uri="{FF2B5EF4-FFF2-40B4-BE49-F238E27FC236}">
              <a16:creationId xmlns:a16="http://schemas.microsoft.com/office/drawing/2014/main" id="{F3F64F5B-DB66-4B05-8570-C25914883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258536</xdr:colOff>
      <xdr:row>13</xdr:row>
      <xdr:rowOff>117929</xdr:rowOff>
    </xdr:from>
    <xdr:to>
      <xdr:col>5</xdr:col>
      <xdr:colOff>451178</xdr:colOff>
      <xdr:row>19</xdr:row>
      <xdr:rowOff>94607</xdr:rowOff>
    </xdr:to>
    <xdr:graphicFrame macro="">
      <xdr:nvGraphicFramePr>
        <xdr:cNvPr id="59" name="Chart 58">
          <a:extLst>
            <a:ext uri="{FF2B5EF4-FFF2-40B4-BE49-F238E27FC236}">
              <a16:creationId xmlns:a16="http://schemas.microsoft.com/office/drawing/2014/main" id="{24619D36-2E03-4170-8704-C4B5FF237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4535</xdr:colOff>
      <xdr:row>13</xdr:row>
      <xdr:rowOff>27217</xdr:rowOff>
    </xdr:from>
    <xdr:to>
      <xdr:col>9</xdr:col>
      <xdr:colOff>412750</xdr:colOff>
      <xdr:row>19</xdr:row>
      <xdr:rowOff>95249</xdr:rowOff>
    </xdr:to>
    <xdr:graphicFrame macro="">
      <xdr:nvGraphicFramePr>
        <xdr:cNvPr id="60" name="Chart 59">
          <a:extLst>
            <a:ext uri="{FF2B5EF4-FFF2-40B4-BE49-F238E27FC236}">
              <a16:creationId xmlns:a16="http://schemas.microsoft.com/office/drawing/2014/main" id="{EDF586C7-5408-481C-8330-A251C3E13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181429</xdr:colOff>
      <xdr:row>13</xdr:row>
      <xdr:rowOff>122464</xdr:rowOff>
    </xdr:from>
    <xdr:to>
      <xdr:col>12</xdr:col>
      <xdr:colOff>594178</xdr:colOff>
      <xdr:row>20</xdr:row>
      <xdr:rowOff>31749</xdr:rowOff>
    </xdr:to>
    <xdr:graphicFrame macro="">
      <xdr:nvGraphicFramePr>
        <xdr:cNvPr id="61" name="Chart 60">
          <a:extLst>
            <a:ext uri="{FF2B5EF4-FFF2-40B4-BE49-F238E27FC236}">
              <a16:creationId xmlns:a16="http://schemas.microsoft.com/office/drawing/2014/main" id="{AF789CB9-8092-49D4-990A-4F4D4C21E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430893</xdr:colOff>
      <xdr:row>11</xdr:row>
      <xdr:rowOff>122464</xdr:rowOff>
    </xdr:from>
    <xdr:to>
      <xdr:col>4</xdr:col>
      <xdr:colOff>489857</xdr:colOff>
      <xdr:row>12</xdr:row>
      <xdr:rowOff>167820</xdr:rowOff>
    </xdr:to>
    <xdr:sp macro="" textlink="">
      <xdr:nvSpPr>
        <xdr:cNvPr id="62" name="TextBox 61">
          <a:extLst>
            <a:ext uri="{FF2B5EF4-FFF2-40B4-BE49-F238E27FC236}">
              <a16:creationId xmlns:a16="http://schemas.microsoft.com/office/drawing/2014/main" id="{5D6F0BD1-400C-AB97-C2F6-77E0288A1FBC}"/>
            </a:ext>
          </a:extLst>
        </xdr:cNvPr>
        <xdr:cNvSpPr txBox="1"/>
      </xdr:nvSpPr>
      <xdr:spPr>
        <a:xfrm>
          <a:off x="1646464" y="1991178"/>
          <a:ext cx="1274536"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000">
              <a:latin typeface="Aptos Slab SemiBold" panose="020B0004020202020204" pitchFamily="34" charset="0"/>
            </a:rPr>
            <a:t>Ship</a:t>
          </a:r>
          <a:r>
            <a:rPr lang="en-GB" sz="1000" baseline="0">
              <a:latin typeface="Aptos Slab SemiBold" panose="020B0004020202020204" pitchFamily="34" charset="0"/>
            </a:rPr>
            <a:t> Mode Sales %</a:t>
          </a:r>
          <a:endParaRPr lang="en-GB" sz="1000">
            <a:latin typeface="Aptos Slab SemiBold" panose="020B0004020202020204" pitchFamily="34" charset="0"/>
          </a:endParaRPr>
        </a:p>
      </xdr:txBody>
    </xdr:sp>
    <xdr:clientData/>
  </xdr:twoCellAnchor>
  <xdr:twoCellAnchor>
    <xdr:from>
      <xdr:col>5</xdr:col>
      <xdr:colOff>72572</xdr:colOff>
      <xdr:row>11</xdr:row>
      <xdr:rowOff>63500</xdr:rowOff>
    </xdr:from>
    <xdr:to>
      <xdr:col>7</xdr:col>
      <xdr:colOff>430893</xdr:colOff>
      <xdr:row>12</xdr:row>
      <xdr:rowOff>86178</xdr:rowOff>
    </xdr:to>
    <xdr:sp macro="" textlink="">
      <xdr:nvSpPr>
        <xdr:cNvPr id="63" name="TextBox 62">
          <a:extLst>
            <a:ext uri="{FF2B5EF4-FFF2-40B4-BE49-F238E27FC236}">
              <a16:creationId xmlns:a16="http://schemas.microsoft.com/office/drawing/2014/main" id="{0FF6B683-89C6-B6A0-A1B0-BCDEA02326C9}"/>
            </a:ext>
          </a:extLst>
        </xdr:cNvPr>
        <xdr:cNvSpPr txBox="1"/>
      </xdr:nvSpPr>
      <xdr:spPr>
        <a:xfrm>
          <a:off x="3111501" y="1932214"/>
          <a:ext cx="1573892" cy="20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000">
              <a:latin typeface="Aptos Slab SemiBold" panose="020B0004020202020204" pitchFamily="34" charset="0"/>
            </a:rPr>
            <a:t>Reigon</a:t>
          </a:r>
          <a:r>
            <a:rPr lang="en-GB" sz="1000" baseline="0">
              <a:latin typeface="Aptos Slab SemiBold" panose="020B0004020202020204" pitchFamily="34" charset="0"/>
            </a:rPr>
            <a:t> wise Transactions</a:t>
          </a:r>
          <a:endParaRPr lang="en-GB" sz="1000">
            <a:latin typeface="Aptos Slab SemiBold" panose="020B0004020202020204" pitchFamily="34" charset="0"/>
          </a:endParaRPr>
        </a:p>
      </xdr:txBody>
    </xdr:sp>
    <xdr:clientData/>
  </xdr:twoCellAnchor>
  <xdr:twoCellAnchor>
    <xdr:from>
      <xdr:col>9</xdr:col>
      <xdr:colOff>27215</xdr:colOff>
      <xdr:row>11</xdr:row>
      <xdr:rowOff>122464</xdr:rowOff>
    </xdr:from>
    <xdr:to>
      <xdr:col>11</xdr:col>
      <xdr:colOff>580571</xdr:colOff>
      <xdr:row>12</xdr:row>
      <xdr:rowOff>104321</xdr:rowOff>
    </xdr:to>
    <xdr:sp macro="" textlink="">
      <xdr:nvSpPr>
        <xdr:cNvPr id="64" name="TextBox 63">
          <a:extLst>
            <a:ext uri="{FF2B5EF4-FFF2-40B4-BE49-F238E27FC236}">
              <a16:creationId xmlns:a16="http://schemas.microsoft.com/office/drawing/2014/main" id="{A23430DE-EA1D-90FD-7294-60B961FE227F}"/>
            </a:ext>
          </a:extLst>
        </xdr:cNvPr>
        <xdr:cNvSpPr txBox="1"/>
      </xdr:nvSpPr>
      <xdr:spPr>
        <a:xfrm>
          <a:off x="5497286" y="1991178"/>
          <a:ext cx="1768928" cy="167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000">
              <a:latin typeface="Aptos Slab SemiBold" panose="020B0004020202020204" pitchFamily="34" charset="0"/>
            </a:rPr>
            <a:t>Monthly</a:t>
          </a:r>
          <a:r>
            <a:rPr lang="en-GB" sz="1000" baseline="0">
              <a:latin typeface="Aptos Slab SemiBold" panose="020B0004020202020204" pitchFamily="34" charset="0"/>
            </a:rPr>
            <a:t> Quantity Ordered</a:t>
          </a:r>
          <a:endParaRPr lang="en-GB" sz="1000">
            <a:latin typeface="Aptos Slab SemiBold" panose="020B0004020202020204" pitchFamily="34" charset="0"/>
          </a:endParaRPr>
        </a:p>
      </xdr:txBody>
    </xdr:sp>
    <xdr:clientData/>
  </xdr:twoCellAnchor>
  <xdr:twoCellAnchor>
    <xdr:from>
      <xdr:col>2</xdr:col>
      <xdr:colOff>515259</xdr:colOff>
      <xdr:row>19</xdr:row>
      <xdr:rowOff>48079</xdr:rowOff>
    </xdr:from>
    <xdr:to>
      <xdr:col>5</xdr:col>
      <xdr:colOff>211364</xdr:colOff>
      <xdr:row>20</xdr:row>
      <xdr:rowOff>39008</xdr:rowOff>
    </xdr:to>
    <xdr:sp macro="" textlink="">
      <xdr:nvSpPr>
        <xdr:cNvPr id="65" name="TextBox 64">
          <a:extLst>
            <a:ext uri="{FF2B5EF4-FFF2-40B4-BE49-F238E27FC236}">
              <a16:creationId xmlns:a16="http://schemas.microsoft.com/office/drawing/2014/main" id="{7F05B398-5F31-069D-3C3F-59D14408338D}"/>
            </a:ext>
          </a:extLst>
        </xdr:cNvPr>
        <xdr:cNvSpPr txBox="1"/>
      </xdr:nvSpPr>
      <xdr:spPr>
        <a:xfrm>
          <a:off x="1730830" y="3404508"/>
          <a:ext cx="1519463" cy="17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000">
              <a:latin typeface="Aptos Slab SemiBold" panose="020B0004020202020204" pitchFamily="34" charset="0"/>
            </a:rPr>
            <a:t>Top</a:t>
          </a:r>
          <a:r>
            <a:rPr lang="en-GB" sz="1000" baseline="0">
              <a:latin typeface="Aptos Slab SemiBold" panose="020B0004020202020204" pitchFamily="34" charset="0"/>
            </a:rPr>
            <a:t> 5 Cities Sales Wise</a:t>
          </a:r>
          <a:endParaRPr lang="en-GB" sz="1000">
            <a:latin typeface="Aptos Slab SemiBold" panose="020B0004020202020204" pitchFamily="34" charset="0"/>
          </a:endParaRPr>
        </a:p>
      </xdr:txBody>
    </xdr:sp>
    <xdr:clientData/>
  </xdr:twoCellAnchor>
  <xdr:twoCellAnchor>
    <xdr:from>
      <xdr:col>6</xdr:col>
      <xdr:colOff>138794</xdr:colOff>
      <xdr:row>19</xdr:row>
      <xdr:rowOff>39006</xdr:rowOff>
    </xdr:from>
    <xdr:to>
      <xdr:col>9</xdr:col>
      <xdr:colOff>276678</xdr:colOff>
      <xdr:row>20</xdr:row>
      <xdr:rowOff>49893</xdr:rowOff>
    </xdr:to>
    <xdr:sp macro="" textlink="">
      <xdr:nvSpPr>
        <xdr:cNvPr id="66" name="TextBox 65">
          <a:extLst>
            <a:ext uri="{FF2B5EF4-FFF2-40B4-BE49-F238E27FC236}">
              <a16:creationId xmlns:a16="http://schemas.microsoft.com/office/drawing/2014/main" id="{88E82E11-FA3B-4B05-4A33-FF6EC31DAAF3}"/>
            </a:ext>
          </a:extLst>
        </xdr:cNvPr>
        <xdr:cNvSpPr txBox="1"/>
      </xdr:nvSpPr>
      <xdr:spPr>
        <a:xfrm>
          <a:off x="3785508" y="3395435"/>
          <a:ext cx="1961241" cy="196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000">
              <a:latin typeface="Aptos Slab SemiBold" panose="020B0004020202020204" pitchFamily="34" charset="0"/>
            </a:rPr>
            <a:t>Category</a:t>
          </a:r>
          <a:r>
            <a:rPr lang="en-GB" sz="1000" baseline="0">
              <a:latin typeface="Aptos Slab SemiBold" panose="020B0004020202020204" pitchFamily="34" charset="0"/>
            </a:rPr>
            <a:t> Wise Transactions</a:t>
          </a:r>
          <a:endParaRPr lang="en-GB" sz="1000">
            <a:latin typeface="Aptos Slab SemiBold" panose="020B0004020202020204" pitchFamily="34" charset="0"/>
          </a:endParaRPr>
        </a:p>
      </xdr:txBody>
    </xdr:sp>
    <xdr:clientData/>
  </xdr:twoCellAnchor>
  <xdr:twoCellAnchor>
    <xdr:from>
      <xdr:col>9</xdr:col>
      <xdr:colOff>456295</xdr:colOff>
      <xdr:row>19</xdr:row>
      <xdr:rowOff>39008</xdr:rowOff>
    </xdr:from>
    <xdr:to>
      <xdr:col>12</xdr:col>
      <xdr:colOff>557892</xdr:colOff>
      <xdr:row>20</xdr:row>
      <xdr:rowOff>27216</xdr:rowOff>
    </xdr:to>
    <xdr:sp macro="" textlink="">
      <xdr:nvSpPr>
        <xdr:cNvPr id="67" name="TextBox 66">
          <a:extLst>
            <a:ext uri="{FF2B5EF4-FFF2-40B4-BE49-F238E27FC236}">
              <a16:creationId xmlns:a16="http://schemas.microsoft.com/office/drawing/2014/main" id="{8F0BA680-C0B1-1F3A-8ACC-E05733786234}"/>
            </a:ext>
          </a:extLst>
        </xdr:cNvPr>
        <xdr:cNvSpPr txBox="1"/>
      </xdr:nvSpPr>
      <xdr:spPr>
        <a:xfrm>
          <a:off x="5926366" y="3386365"/>
          <a:ext cx="1924955" cy="174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000">
              <a:latin typeface="Aptos Slab SemiBold" panose="020B0004020202020204" pitchFamily="34" charset="0"/>
            </a:rPr>
            <a:t>Consumer</a:t>
          </a:r>
          <a:r>
            <a:rPr lang="en-GB" sz="1000" baseline="0">
              <a:latin typeface="Aptos Slab SemiBold" panose="020B0004020202020204" pitchFamily="34" charset="0"/>
            </a:rPr>
            <a:t> type Quantity Ordered</a:t>
          </a:r>
          <a:endParaRPr lang="en-GB" sz="1000">
            <a:latin typeface="Aptos Slab SemiBold" panose="020B0004020202020204" pitchFamily="34" charset="0"/>
          </a:endParaRPr>
        </a:p>
      </xdr:txBody>
    </xdr:sp>
    <xdr:clientData/>
  </xdr:twoCellAnchor>
  <xdr:twoCellAnchor editAs="oneCell">
    <xdr:from>
      <xdr:col>0</xdr:col>
      <xdr:colOff>434823</xdr:colOff>
      <xdr:row>5</xdr:row>
      <xdr:rowOff>81948</xdr:rowOff>
    </xdr:from>
    <xdr:to>
      <xdr:col>2</xdr:col>
      <xdr:colOff>74702</xdr:colOff>
      <xdr:row>12</xdr:row>
      <xdr:rowOff>168427</xdr:rowOff>
    </xdr:to>
    <mc:AlternateContent xmlns:mc="http://schemas.openxmlformats.org/markup-compatibility/2006" xmlns:a14="http://schemas.microsoft.com/office/drawing/2010/main">
      <mc:Choice Requires="a14">
        <xdr:graphicFrame macro="">
          <xdr:nvGraphicFramePr>
            <xdr:cNvPr id="68" name="Region">
              <a:extLst>
                <a:ext uri="{FF2B5EF4-FFF2-40B4-BE49-F238E27FC236}">
                  <a16:creationId xmlns:a16="http://schemas.microsoft.com/office/drawing/2014/main" id="{236B79F7-E4C0-4366-8C09-D784ACF6E3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4823" y="1005175"/>
              <a:ext cx="855836" cy="13925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420915</xdr:colOff>
      <xdr:row>12</xdr:row>
      <xdr:rowOff>96762</xdr:rowOff>
    </xdr:from>
    <xdr:to>
      <xdr:col>2</xdr:col>
      <xdr:colOff>60794</xdr:colOff>
      <xdr:row>20</xdr:row>
      <xdr:rowOff>80434</xdr:rowOff>
    </xdr:to>
    <mc:AlternateContent xmlns:mc="http://schemas.openxmlformats.org/markup-compatibility/2006" xmlns:a14="http://schemas.microsoft.com/office/drawing/2010/main">
      <mc:Choice Requires="a14">
        <xdr:graphicFrame macro="">
          <xdr:nvGraphicFramePr>
            <xdr:cNvPr id="69" name="Years (Order Date)">
              <a:extLst>
                <a:ext uri="{FF2B5EF4-FFF2-40B4-BE49-F238E27FC236}">
                  <a16:creationId xmlns:a16="http://schemas.microsoft.com/office/drawing/2014/main" id="{C99E6A36-4E9C-4C85-B26B-C7E2E2C740E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20915" y="2326017"/>
              <a:ext cx="855836" cy="14608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427568</xdr:colOff>
      <xdr:row>1</xdr:row>
      <xdr:rowOff>157681</xdr:rowOff>
    </xdr:from>
    <xdr:to>
      <xdr:col>2</xdr:col>
      <xdr:colOff>63500</xdr:colOff>
      <xdr:row>5</xdr:row>
      <xdr:rowOff>30682</xdr:rowOff>
    </xdr:to>
    <xdr:sp macro="" textlink="">
      <xdr:nvSpPr>
        <xdr:cNvPr id="70" name="Rectangle: Rounded Corners 69">
          <a:extLst>
            <a:ext uri="{FF2B5EF4-FFF2-40B4-BE49-F238E27FC236}">
              <a16:creationId xmlns:a16="http://schemas.microsoft.com/office/drawing/2014/main" id="{0481A51A-A8A6-A2D6-D880-60D9FFCA3C9D}"/>
            </a:ext>
          </a:extLst>
        </xdr:cNvPr>
        <xdr:cNvSpPr/>
      </xdr:nvSpPr>
      <xdr:spPr>
        <a:xfrm>
          <a:off x="427568" y="344103"/>
          <a:ext cx="859326" cy="618689"/>
        </a:xfrm>
        <a:prstGeom prst="roundRect">
          <a:avLst>
            <a:gd name="adj" fmla="val 27510"/>
          </a:avLst>
        </a:prstGeom>
        <a:solidFill>
          <a:schemeClr val="accent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Slab SemiBold" panose="020B0004020202020204" pitchFamily="34" charset="0"/>
          </a:endParaRPr>
        </a:p>
      </xdr:txBody>
    </xdr:sp>
    <xdr:clientData/>
  </xdr:twoCellAnchor>
  <xdr:twoCellAnchor>
    <xdr:from>
      <xdr:col>0</xdr:col>
      <xdr:colOff>452967</xdr:colOff>
      <xdr:row>2</xdr:row>
      <xdr:rowOff>21167</xdr:rowOff>
    </xdr:from>
    <xdr:to>
      <xdr:col>2</xdr:col>
      <xdr:colOff>76200</xdr:colOff>
      <xdr:row>5</xdr:row>
      <xdr:rowOff>0</xdr:rowOff>
    </xdr:to>
    <xdr:sp macro="" textlink="">
      <xdr:nvSpPr>
        <xdr:cNvPr id="72" name="TextBox 71">
          <a:extLst>
            <a:ext uri="{FF2B5EF4-FFF2-40B4-BE49-F238E27FC236}">
              <a16:creationId xmlns:a16="http://schemas.microsoft.com/office/drawing/2014/main" id="{EF4AC3BD-DF83-6390-C192-3721068606CA}"/>
            </a:ext>
          </a:extLst>
        </xdr:cNvPr>
        <xdr:cNvSpPr txBox="1"/>
      </xdr:nvSpPr>
      <xdr:spPr>
        <a:xfrm>
          <a:off x="452967" y="393700"/>
          <a:ext cx="842433" cy="537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000" b="0" cap="none" spc="0">
              <a:ln w="0"/>
              <a:solidFill>
                <a:schemeClr val="bg1"/>
              </a:solidFill>
              <a:effectLst>
                <a:outerShdw blurRad="38100" dist="19050" dir="2700000" algn="tl" rotWithShape="0">
                  <a:schemeClr val="dk1">
                    <a:alpha val="40000"/>
                  </a:schemeClr>
                </a:outerShdw>
              </a:effectLst>
              <a:latin typeface="Abadi" panose="020B0604020104020204" pitchFamily="34" charset="0"/>
            </a:rPr>
            <a:t>S</a:t>
          </a:r>
          <a:r>
            <a:rPr lang="en-GB" sz="1200" b="0" cap="none" spc="0">
              <a:ln w="0"/>
              <a:solidFill>
                <a:schemeClr val="bg1"/>
              </a:solidFill>
              <a:effectLst>
                <a:outerShdw blurRad="38100" dist="19050" dir="2700000" algn="tl" rotWithShape="0">
                  <a:schemeClr val="dk1">
                    <a:alpha val="40000"/>
                  </a:schemeClr>
                </a:outerShdw>
              </a:effectLst>
              <a:latin typeface="Abadi" panose="020B0604020104020204" pitchFamily="34" charset="0"/>
            </a:rPr>
            <a:t>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shevkar" refreshedDate="46165.827124189818" backgroundQuery="1" createdVersion="8" refreshedVersion="8" minRefreshableVersion="3" recordCount="9994" xr:uid="{3DD78618-C4D8-4BD0-B5F9-0A96849E2DCA}">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203207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AF8445-973A-46AC-8C9B-B9540973FAD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8:A9"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Sum of Quantity" fld="18" baseField="0" baseItem="0"/>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7C71A8-A2D6-44F2-82F2-4D2D54F147C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Months"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sumSubtotal="1">
      <items count="5">
        <item x="2"/>
        <item x="3"/>
        <item x="0"/>
        <item x="1"/>
        <item t="sum"/>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x="0"/>
        <item h="1" x="1"/>
        <item t="default"/>
      </items>
    </pivotField>
    <pivotField showAll="0"/>
    <pivotField showAll="0"/>
    <pivotField showAll="0"/>
    <pivotField showAll="0"/>
    <pivotField showAll="0"/>
    <pivotField axis="axisRow" dataField="1" showAll="0">
      <items count="5">
        <item x="1"/>
        <item x="2"/>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3">
    <field x="20"/>
    <field x="18"/>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5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D550AD-6B37-4542-B92F-635BE15DEA7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Sum of Total Sales" fld="19" baseField="0" baseItem="0" numFmtId="164"/>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B29F25-73E6-4339-A522-C62A9498535D}"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Region"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sumSubtotal="1">
      <items count="5">
        <item x="2"/>
        <item x="3"/>
        <item x="0"/>
        <item x="1"/>
        <item t="sum"/>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54">
      <pivotArea outline="0" collapsedLevelsAreSubtotals="1" fieldPosition="0"/>
    </format>
    <format dxfId="53">
      <pivotArea collapsedLevelsAreSubtotals="1" fieldPosition="0">
        <references count="1">
          <reference field="12"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30AB61-76C6-4740-8CB4-EB40CDF7010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Shipping Mode"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sumSubtotal="1">
      <items count="5">
        <item x="2"/>
        <item x="3"/>
        <item x="0"/>
        <item x="1"/>
        <item t="sum"/>
      </items>
    </pivotField>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4"/>
  </rowFields>
  <rowItems count="5">
    <i>
      <x/>
    </i>
    <i>
      <x v="1"/>
    </i>
    <i>
      <x v="2"/>
    </i>
    <i>
      <x v="3"/>
    </i>
    <i t="grand">
      <x/>
    </i>
  </rowItems>
  <colItems count="1">
    <i/>
  </colItems>
  <dataFields count="1">
    <dataField name="Sum of Total Sales" fld="19" baseField="4" baseItem="0" numFmtId="43"/>
  </dataFields>
  <formats count="1">
    <format dxfId="55">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A3A51F-5F95-4667-9BE5-1B1C114FC1F8}"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egment" fieldListSortAscending="1">
  <location ref="F26:G3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sumSubtotal="1">
      <items count="5">
        <item x="2"/>
        <item x="3"/>
        <item x="0"/>
        <item x="1"/>
        <item t="sum"/>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x="0"/>
        <item h="1"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2">
    <format dxfId="57">
      <pivotArea outline="0" collapsedLevelsAreSubtotals="1" fieldPosition="0"/>
    </format>
    <format dxfId="5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823289-4A4A-4278-B76F-5709808D9A87}"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Category" fieldListSortAscending="1">
  <location ref="F19:G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sumSubtotal="1">
      <items count="5">
        <item x="2"/>
        <item x="3"/>
        <item x="0"/>
        <item x="1"/>
        <item t="sum"/>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x="0"/>
        <item h="1"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5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D5C2F4-A3D9-4138-8932-727C28A2067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6:A1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Average of Total Sales" fld="19" subtotal="average" baseField="0" baseItem="0" numFmtId="43"/>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28C31C-0BDA-4FD6-91C8-4E8F909EF1E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City" fieldListSortAscending="1">
  <location ref="C19:D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sumSubtotal="1">
      <items count="5">
        <item x="2"/>
        <item x="3"/>
        <item x="0"/>
        <item x="1"/>
        <item t="sum"/>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9"/>
  </rowFields>
  <rowItems count="6">
    <i>
      <x v="216"/>
    </i>
    <i>
      <x v="464"/>
    </i>
    <i>
      <x v="74"/>
    </i>
    <i>
      <x v="194"/>
    </i>
    <i>
      <x v="77"/>
    </i>
    <i t="grand">
      <x/>
    </i>
  </rowItems>
  <colItems count="1">
    <i/>
  </colItems>
  <dataFields count="1">
    <dataField name="Sum of Total Sales" fld="19" baseField="0" baseItem="0" numFmtId="164"/>
  </dataFields>
  <formats count="1">
    <format dxfId="60">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266"/>
          </reference>
        </references>
      </pivotArea>
    </chartFormat>
    <chartFormat chart="2"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2DDE38-F97F-4C6A-BCC7-A890CDB3239C}"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Count of Order ID" fld="1" subtotal="count" baseField="0" baseItem="0"/>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6D0AFF-BB7A-4109-B10D-AB0694C0A98A}" sourceName="Region">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8"/>
    <pivotTable tabId="1" name="PivotTable9"/>
  </pivotTables>
  <data>
    <tabular pivotCacheId="1203207846">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31D5796-9F55-4EE2-917E-4344963C68C9}" sourceName="Years (Order Date)">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7"/>
    <pivotTable tabId="1" name="PivotTable8"/>
    <pivotTable tabId="1" name="PivotTable9"/>
  </pivotTables>
  <data>
    <tabular pivotCacheId="1203207846">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E4DB8B-A2F1-4F7D-815B-6F3F89BF2982}" cache="Slicer_Region" caption="Region" style="MySlicerDesign" rowHeight="216000"/>
  <slicer name="Years (Order Date)" xr10:uid="{0D365BF3-B82B-4326-A185-FA5F486CBD18}"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679D-9E27-4B57-BE2C-C3BF721E85B4}">
  <dimension ref="A3:G30"/>
  <sheetViews>
    <sheetView workbookViewId="0">
      <selection activeCell="F27" sqref="F27"/>
    </sheetView>
  </sheetViews>
  <sheetFormatPr defaultRowHeight="14.5" x14ac:dyDescent="0.35"/>
  <cols>
    <col min="1" max="1" width="18.90625" bestFit="1" customWidth="1"/>
    <col min="3" max="3" width="13.08984375" bestFit="1" customWidth="1"/>
    <col min="4" max="4" width="18.90625" bestFit="1" customWidth="1"/>
    <col min="6" max="6" width="12.453125" bestFit="1" customWidth="1"/>
    <col min="7" max="7" width="15.54296875" bestFit="1" customWidth="1"/>
  </cols>
  <sheetData>
    <row r="3" spans="1:7" x14ac:dyDescent="0.35">
      <c r="A3" t="s">
        <v>0</v>
      </c>
      <c r="C3" s="3" t="s">
        <v>33</v>
      </c>
      <c r="D3" t="s">
        <v>0</v>
      </c>
      <c r="F3" s="3" t="s">
        <v>36</v>
      </c>
      <c r="G3" t="s">
        <v>1</v>
      </c>
    </row>
    <row r="4" spans="1:7" x14ac:dyDescent="0.35">
      <c r="A4" s="2">
        <v>273466.09450000006</v>
      </c>
      <c r="C4" s="4" t="s">
        <v>15</v>
      </c>
      <c r="D4" s="1">
        <v>22549.489999999998</v>
      </c>
      <c r="F4" s="4" t="s">
        <v>20</v>
      </c>
      <c r="G4" s="2">
        <v>85</v>
      </c>
    </row>
    <row r="5" spans="1:7" x14ac:dyDescent="0.35">
      <c r="C5" s="4" t="s">
        <v>16</v>
      </c>
      <c r="D5" s="1">
        <v>4917.4929999999995</v>
      </c>
      <c r="F5" s="4" t="s">
        <v>21</v>
      </c>
      <c r="G5" s="2">
        <v>38</v>
      </c>
    </row>
    <row r="6" spans="1:7" x14ac:dyDescent="0.35">
      <c r="C6" s="4" t="s">
        <v>3</v>
      </c>
      <c r="D6" s="1">
        <v>46244.563499999997</v>
      </c>
      <c r="F6" s="4" t="s">
        <v>22</v>
      </c>
      <c r="G6" s="2">
        <v>114</v>
      </c>
    </row>
    <row r="7" spans="1:7" x14ac:dyDescent="0.35">
      <c r="A7" s="2"/>
      <c r="C7" s="4" t="s">
        <v>10</v>
      </c>
      <c r="D7" s="1">
        <v>199754.54800000004</v>
      </c>
      <c r="F7" s="4" t="s">
        <v>23</v>
      </c>
      <c r="G7" s="2">
        <v>60</v>
      </c>
    </row>
    <row r="8" spans="1:7" x14ac:dyDescent="0.35">
      <c r="A8" t="s">
        <v>1</v>
      </c>
      <c r="C8" s="4" t="s">
        <v>18</v>
      </c>
      <c r="D8" s="1">
        <v>273466.09450000001</v>
      </c>
      <c r="F8" s="4" t="s">
        <v>24</v>
      </c>
      <c r="G8" s="2">
        <v>91</v>
      </c>
    </row>
    <row r="9" spans="1:7" x14ac:dyDescent="0.35">
      <c r="A9" s="2">
        <v>868</v>
      </c>
      <c r="F9" s="4" t="s">
        <v>25</v>
      </c>
      <c r="G9" s="2">
        <v>66</v>
      </c>
    </row>
    <row r="10" spans="1:7" x14ac:dyDescent="0.35">
      <c r="F10" s="4" t="s">
        <v>26</v>
      </c>
      <c r="G10" s="2">
        <v>28</v>
      </c>
    </row>
    <row r="11" spans="1:7" x14ac:dyDescent="0.35">
      <c r="C11" s="3" t="s">
        <v>34</v>
      </c>
      <c r="D11" t="s">
        <v>19</v>
      </c>
      <c r="F11" s="4" t="s">
        <v>27</v>
      </c>
      <c r="G11" s="2">
        <v>74</v>
      </c>
    </row>
    <row r="12" spans="1:7" x14ac:dyDescent="0.35">
      <c r="A12" t="s">
        <v>2</v>
      </c>
      <c r="C12" s="4" t="s">
        <v>13</v>
      </c>
      <c r="D12" s="2">
        <v>466</v>
      </c>
      <c r="F12" s="4" t="s">
        <v>28</v>
      </c>
      <c r="G12" s="2">
        <v>65</v>
      </c>
    </row>
    <row r="13" spans="1:7" x14ac:dyDescent="0.35">
      <c r="A13" s="2">
        <v>349</v>
      </c>
      <c r="C13" s="4" t="s">
        <v>14</v>
      </c>
      <c r="D13" s="2">
        <v>517</v>
      </c>
      <c r="F13" s="4" t="s">
        <v>29</v>
      </c>
      <c r="G13" s="2">
        <v>62</v>
      </c>
    </row>
    <row r="14" spans="1:7" x14ac:dyDescent="0.35">
      <c r="C14" s="4" t="s">
        <v>5</v>
      </c>
      <c r="D14" s="2">
        <v>349</v>
      </c>
      <c r="F14" s="4" t="s">
        <v>30</v>
      </c>
      <c r="G14" s="2">
        <v>85</v>
      </c>
    </row>
    <row r="15" spans="1:7" x14ac:dyDescent="0.35">
      <c r="C15" s="4" t="s">
        <v>8</v>
      </c>
      <c r="D15" s="2">
        <v>661</v>
      </c>
      <c r="F15" s="4" t="s">
        <v>31</v>
      </c>
      <c r="G15" s="2">
        <v>100</v>
      </c>
    </row>
    <row r="16" spans="1:7" x14ac:dyDescent="0.35">
      <c r="A16" t="s">
        <v>17</v>
      </c>
      <c r="C16" s="4" t="s">
        <v>18</v>
      </c>
      <c r="D16" s="1">
        <v>1993</v>
      </c>
      <c r="F16" s="4" t="s">
        <v>18</v>
      </c>
      <c r="G16" s="2">
        <v>868</v>
      </c>
    </row>
    <row r="17" spans="1:7" x14ac:dyDescent="0.35">
      <c r="A17" s="1">
        <v>783.57047134670506</v>
      </c>
    </row>
    <row r="19" spans="1:7" x14ac:dyDescent="0.35">
      <c r="C19" s="3" t="s">
        <v>35</v>
      </c>
      <c r="D19" t="s">
        <v>0</v>
      </c>
      <c r="F19" s="3" t="s">
        <v>37</v>
      </c>
      <c r="G19" t="s">
        <v>32</v>
      </c>
    </row>
    <row r="20" spans="1:7" x14ac:dyDescent="0.35">
      <c r="C20" s="4" t="s">
        <v>39</v>
      </c>
      <c r="D20" s="2">
        <v>74692.989000000001</v>
      </c>
      <c r="F20" s="4" t="s">
        <v>6</v>
      </c>
      <c r="G20" s="2">
        <v>65</v>
      </c>
    </row>
    <row r="21" spans="1:7" x14ac:dyDescent="0.35">
      <c r="C21" s="4" t="s">
        <v>40</v>
      </c>
      <c r="D21" s="2">
        <v>18602.039999999997</v>
      </c>
      <c r="F21" s="4" t="s">
        <v>9</v>
      </c>
      <c r="G21" s="2">
        <v>216</v>
      </c>
    </row>
    <row r="22" spans="1:7" x14ac:dyDescent="0.35">
      <c r="C22" s="4" t="s">
        <v>41</v>
      </c>
      <c r="D22" s="2">
        <v>15400.588000000003</v>
      </c>
      <c r="F22" s="4" t="s">
        <v>11</v>
      </c>
      <c r="G22" s="2">
        <v>68</v>
      </c>
    </row>
    <row r="23" spans="1:7" x14ac:dyDescent="0.35">
      <c r="C23" s="4" t="s">
        <v>42</v>
      </c>
      <c r="D23" s="2">
        <v>11164.95</v>
      </c>
      <c r="F23" s="4" t="s">
        <v>18</v>
      </c>
      <c r="G23" s="2">
        <v>349</v>
      </c>
    </row>
    <row r="24" spans="1:7" x14ac:dyDescent="0.35">
      <c r="C24" s="4" t="s">
        <v>43</v>
      </c>
      <c r="D24" s="2">
        <v>10807.230000000001</v>
      </c>
      <c r="G24" s="2"/>
    </row>
    <row r="25" spans="1:7" x14ac:dyDescent="0.35">
      <c r="C25" s="4" t="s">
        <v>18</v>
      </c>
      <c r="D25" s="2">
        <v>130667.79700000001</v>
      </c>
      <c r="G25" s="2"/>
    </row>
    <row r="26" spans="1:7" x14ac:dyDescent="0.35">
      <c r="F26" s="3" t="s">
        <v>38</v>
      </c>
      <c r="G26" s="2" t="s">
        <v>1</v>
      </c>
    </row>
    <row r="27" spans="1:7" x14ac:dyDescent="0.35">
      <c r="F27" s="4" t="s">
        <v>4</v>
      </c>
      <c r="G27" s="2">
        <v>400</v>
      </c>
    </row>
    <row r="28" spans="1:7" x14ac:dyDescent="0.35">
      <c r="F28" s="4" t="s">
        <v>7</v>
      </c>
      <c r="G28" s="2">
        <v>337</v>
      </c>
    </row>
    <row r="29" spans="1:7" x14ac:dyDescent="0.35">
      <c r="F29" s="4" t="s">
        <v>12</v>
      </c>
      <c r="G29" s="2">
        <v>131</v>
      </c>
    </row>
    <row r="30" spans="1:7" x14ac:dyDescent="0.35">
      <c r="F30" s="4" t="s">
        <v>18</v>
      </c>
      <c r="G30" s="2">
        <v>868</v>
      </c>
    </row>
  </sheetData>
  <autoFilter ref="C19:D25" xr:uid="{CA93679D-9E27-4B57-BE2C-C3BF721E85B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4712-E90D-4C92-A493-A387B67AC241}">
  <dimension ref="N7"/>
  <sheetViews>
    <sheetView tabSelected="1" zoomScale="141" zoomScaleNormal="140" workbookViewId="0">
      <selection activeCell="N27" sqref="N27"/>
    </sheetView>
  </sheetViews>
  <sheetFormatPr defaultRowHeight="14.5" x14ac:dyDescent="0.35"/>
  <cols>
    <col min="1" max="16384" width="8.7265625" style="5"/>
  </cols>
  <sheetData>
    <row r="7" spans="14:14" ht="15.5" x14ac:dyDescent="0.4">
      <c r="N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4B2229-5DDE-4614-9C14-4AB197BD4A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sayali shevkar</dc:creator>
  <cp:lastModifiedBy>sayali shevkar</cp:lastModifiedBy>
  <dcterms:created xsi:type="dcterms:W3CDTF">2026-05-23T18:39:12Z</dcterms:created>
  <dcterms:modified xsi:type="dcterms:W3CDTF">2026-05-30T10:22:27Z</dcterms:modified>
</cp:coreProperties>
</file>